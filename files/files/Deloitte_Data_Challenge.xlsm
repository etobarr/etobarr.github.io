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Ex1.xml" ContentType="application/vnd.ms-office.chartex+xml"/>
  <Override PartName="/xl/charts/style3.xml" ContentType="application/vnd.ms-office.chartstyle+xml"/>
  <Override PartName="/xl/charts/colors3.xml" ContentType="application/vnd.ms-office.chartcolorstyle+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harts/chart5.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827" codeName="{E757BCB4-07E6-AE0B-56E0-F0EEF7A6E26C}"/>
  <workbookPr codeName="ThisWorkbook" hidePivotFieldList="1"/>
  <mc:AlternateContent xmlns:mc="http://schemas.openxmlformats.org/markup-compatibility/2006">
    <mc:Choice Requires="x15">
      <x15ac:absPath xmlns:x15ac="http://schemas.microsoft.com/office/spreadsheetml/2010/11/ac" url="https://d.docs.live.net/ec34fa966a66d478/Coding/etobarr.github.io/Excel/files/"/>
    </mc:Choice>
  </mc:AlternateContent>
  <xr:revisionPtr revIDLastSave="33" documentId="13_ncr:1_{B7E13155-1BC8-4001-9A6B-9BC8C19E6E5E}" xr6:coauthVersionLast="47" xr6:coauthVersionMax="47" xr10:uidLastSave="{15533C23-C111-4581-8F63-0CF5AAE8BF3E}"/>
  <workbookProtection lockStructure="1"/>
  <bookViews>
    <workbookView xWindow="-120" yWindow="-120" windowWidth="23280" windowHeight="14880" tabRatio="661" xr2:uid="{00000000-000D-0000-FFFF-FFFF00000000}"/>
  </bookViews>
  <sheets>
    <sheet name="Main Menu" sheetId="10" r:id="rId1"/>
    <sheet name="Compostable Cup Scenario" sheetId="2" r:id="rId2"/>
    <sheet name="Reusable Mug Scenario" sheetId="3" r:id="rId3"/>
    <sheet name="Combined Scenario" sheetId="12" r:id="rId4"/>
    <sheet name="Dashboard" sheetId="7" r:id="rId5"/>
    <sheet name="Metrics" sheetId="5" r:id="rId6"/>
    <sheet name="Simulations" sheetId="8" state="hidden" r:id="rId7"/>
    <sheet name="Control Sheet" sheetId="6" state="hidden" r:id="rId8"/>
    <sheet name="Sheet1" sheetId="13" state="hidden" r:id="rId9"/>
  </sheets>
  <definedNames>
    <definedName name="_AtRisk_SimSetting_AutomaticallyGenerateReports" hidden="1">FALSE</definedName>
    <definedName name="_AtRisk_SimSetting_AutomaticResultsDisplayMode" hidden="1">2</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PalDV_1287484137" hidden="1">#REF!</definedName>
    <definedName name="_PalDV_1951079581" hidden="1">#REF!</definedName>
    <definedName name="_PalDV_224669081" hidden="1">#REF!</definedName>
    <definedName name="_xlchart.v1.0" hidden="1">Simulations!$E$10:$E$1009</definedName>
    <definedName name="_xlchart.v1.1" hidden="1">Simulations!$O$10:$O$1009</definedName>
    <definedName name="_xlchart.v1.2" hidden="1">Simulations!$Z$10:$Z$1009</definedName>
    <definedName name="Pal_Workbook_GUID" hidden="1">"6W8JMCC48CP5HS1HQLZ2ID3I"</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231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TopRankDefaultDistForRange" hidden="1">0</definedName>
    <definedName name="TopRankDefaultMaxChange" hidden="1">0.1</definedName>
    <definedName name="TopRankDefaultMinChange" hidden="1">-0.1</definedName>
    <definedName name="TopRankDefaultMultiGroupSize" hidden="1">2</definedName>
    <definedName name="TopRankDefaultMultiStepsPerInput" hidden="1">2</definedName>
    <definedName name="TopRankDefaultRangeType" hidden="1">0</definedName>
    <definedName name="TopRankDefaultStepsPerInput" hidden="1">5</definedName>
    <definedName name="TopRankDetailByInputReport" hidden="1">FALSE</definedName>
    <definedName name="TopRankMaxInputsPerGraph" hidden="1">20</definedName>
    <definedName name="TopRankMultiWayReport" hidden="1">FALSE</definedName>
    <definedName name="TopRankNumberOfRuns" hidden="1">1</definedName>
    <definedName name="TopRankOnlyInputsOverThreshold" hidden="1">FALSE</definedName>
    <definedName name="TopRankOnlyTopRanking" hidden="1">FALSE</definedName>
    <definedName name="TopRankOutputDetailReport" hidden="1">FALSE</definedName>
    <definedName name="TopRankOutputsAsPercentChange" hidden="1">FALSE</definedName>
    <definedName name="TopRankOverwriteExisting" hidden="1">FALSE</definedName>
    <definedName name="TopRankPauseOnError" hidden="1">FALSE</definedName>
    <definedName name="TopRankPerformPrecedentScanAddOutput" hidden="1">FALSE</definedName>
    <definedName name="TopRankPerformPrecedentScanAtStart" hidden="1">FALSE</definedName>
    <definedName name="TopRankPrecedentScanType" hidden="1">1</definedName>
    <definedName name="TopRankReportAllOutputCells" hidden="1">TRUE</definedName>
    <definedName name="TopRankReportsInExistingWorkbook" hidden="1">TRUE</definedName>
    <definedName name="TopRankReportsInExistingWorkbookName" hidden="1">"Active Workbook"</definedName>
    <definedName name="TopRankReportsInNewWorkbook" hidden="1">FALSE</definedName>
    <definedName name="TopRankSensitivityGraphs" hidden="1">FALSE</definedName>
    <definedName name="TopRankSingleWorkbookAllResults" hidden="1">TRUE</definedName>
    <definedName name="TopRankSpiderGraphs" hidden="1">FALSE</definedName>
    <definedName name="TopRankTornadoGraphs" hidden="1">TRUE</definedName>
    <definedName name="TopRankUpdateDisplay" hidden="1">FALSE</definedName>
  </definedNames>
  <calcPr calcId="191028" calcMode="autoNoTable"/>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D19" i="7" l="1"/>
  <c r="R12" i="5"/>
  <c r="R13" i="5"/>
  <c r="R14" i="5"/>
  <c r="R15" i="5"/>
  <c r="R16" i="5"/>
  <c r="R11" i="5"/>
  <c r="O13" i="12"/>
  <c r="O10" i="2"/>
  <c r="T91" i="7"/>
  <c r="T90" i="7"/>
  <c r="T89" i="7"/>
  <c r="G91" i="7"/>
  <c r="G90" i="7"/>
  <c r="G89" i="7"/>
  <c r="R88" i="7"/>
  <c r="E88" i="7"/>
  <c r="O13" i="3"/>
  <c r="O12" i="3" s="1"/>
  <c r="L15" i="2"/>
  <c r="G8" i="12"/>
  <c r="G8" i="3"/>
  <c r="G8" i="2"/>
  <c r="O12" i="12"/>
  <c r="L15" i="12"/>
  <c r="L17" i="2"/>
  <c r="L17" i="3"/>
  <c r="L17" i="12"/>
  <c r="N12" i="6"/>
  <c r="L10" i="2" s="1"/>
  <c r="N18" i="6"/>
  <c r="L10" i="12" s="1"/>
  <c r="E10" i="2"/>
  <c r="E10" i="3"/>
  <c r="L15" i="3" s="1"/>
  <c r="E10" i="12"/>
  <c r="P7" i="6"/>
  <c r="K9" i="6"/>
  <c r="O21" i="6"/>
  <c r="M21" i="6"/>
  <c r="O15" i="6"/>
  <c r="M15" i="6"/>
  <c r="K21" i="6"/>
  <c r="K5" i="6"/>
  <c r="K18" i="6"/>
  <c r="K19" i="6"/>
  <c r="K20" i="6"/>
  <c r="K4" i="6"/>
  <c r="K12" i="6"/>
  <c r="K14" i="6"/>
  <c r="K15" i="6"/>
  <c r="K16" i="6"/>
  <c r="K7" i="6"/>
  <c r="M5" i="3"/>
  <c r="E38" i="7"/>
  <c r="T38" i="7"/>
  <c r="T39" i="7"/>
  <c r="T35" i="7"/>
  <c r="T34" i="7"/>
  <c r="T133" i="7" s="1"/>
  <c r="U133" i="7" s="1"/>
  <c r="S41" i="7"/>
  <c r="U38" i="7"/>
  <c r="U39" i="7"/>
  <c r="S38" i="7"/>
  <c r="S39" i="7"/>
  <c r="U34" i="7"/>
  <c r="U35" i="7"/>
  <c r="S35" i="7"/>
  <c r="S34" i="7"/>
  <c r="M5" i="12"/>
  <c r="M5" i="2"/>
  <c r="L41" i="7"/>
  <c r="E41" i="7"/>
  <c r="K17" i="5"/>
  <c r="E17" i="5"/>
  <c r="K18" i="5"/>
  <c r="K19" i="5"/>
  <c r="K20" i="5"/>
  <c r="K21" i="5"/>
  <c r="K22" i="5"/>
  <c r="K23" i="5" s="1"/>
  <c r="K24" i="5"/>
  <c r="E18" i="5"/>
  <c r="K25" i="5"/>
  <c r="E19" i="5"/>
  <c r="E20" i="5"/>
  <c r="K26" i="5"/>
  <c r="E21" i="5"/>
  <c r="E22" i="5"/>
  <c r="K27" i="5"/>
  <c r="K28" i="5" s="1"/>
  <c r="E23" i="5"/>
  <c r="E24" i="5"/>
  <c r="E25" i="5"/>
  <c r="E26" i="5"/>
  <c r="E27" i="5"/>
  <c r="E28" i="5"/>
  <c r="G87" i="7" l="1"/>
  <c r="E7" i="2"/>
  <c r="L7" i="12" s="1"/>
  <c r="L10" i="3"/>
  <c r="O17" i="12"/>
  <c r="AF9" i="8" s="1"/>
  <c r="L7" i="2" l="1"/>
  <c r="L7" i="3"/>
  <c r="E34" i="7"/>
  <c r="F34" i="7"/>
  <c r="F133" i="7" s="1"/>
  <c r="G133" i="7" s="1"/>
  <c r="G34" i="7"/>
  <c r="L34" i="7"/>
  <c r="M34" i="7"/>
  <c r="M133" i="7" s="1"/>
  <c r="N133" i="7" s="1"/>
  <c r="N34" i="7"/>
  <c r="E35" i="7"/>
  <c r="F35" i="7"/>
  <c r="G35" i="7"/>
  <c r="L35" i="7"/>
  <c r="M35" i="7"/>
  <c r="N35" i="7"/>
  <c r="F38" i="7"/>
  <c r="G38" i="7"/>
  <c r="L38" i="7"/>
  <c r="M38" i="7"/>
  <c r="N38" i="7"/>
  <c r="E39" i="7"/>
  <c r="F39" i="7"/>
  <c r="G39" i="7"/>
  <c r="L39" i="7"/>
  <c r="M39" i="7"/>
  <c r="N39" i="7"/>
  <c r="Q12" i="5"/>
  <c r="Q13" i="5"/>
  <c r="Q14" i="5"/>
  <c r="Q15" i="5"/>
  <c r="Q16" i="5"/>
  <c r="Q11" i="5"/>
  <c r="AA9" i="5"/>
  <c r="P17" i="5"/>
  <c r="P18" i="5"/>
  <c r="P19" i="5"/>
  <c r="P20" i="5"/>
  <c r="P21" i="5"/>
  <c r="P22" i="5"/>
  <c r="P23" i="5"/>
  <c r="P24" i="5"/>
  <c r="P25" i="5"/>
  <c r="P26" i="5"/>
  <c r="P27" i="5"/>
  <c r="P28" i="5"/>
  <c r="V11" i="5"/>
  <c r="P12" i="5"/>
  <c r="P13" i="5"/>
  <c r="P14" i="5"/>
  <c r="P15" i="5"/>
  <c r="P16" i="5"/>
  <c r="P11" i="5"/>
  <c r="T88" i="7" l="1"/>
  <c r="G88" i="7"/>
  <c r="E9" i="12"/>
  <c r="E9" i="2"/>
  <c r="E9" i="3"/>
  <c r="G41" i="7"/>
  <c r="E7" i="3"/>
  <c r="E7" i="12"/>
  <c r="V12" i="5"/>
  <c r="V13" i="5" s="1"/>
  <c r="V9" i="5"/>
  <c r="Q18" i="5"/>
  <c r="Q17" i="5"/>
  <c r="E11" i="12" l="1"/>
  <c r="E11" i="3"/>
  <c r="E11" i="2"/>
  <c r="T87" i="7" s="1"/>
  <c r="L8" i="3"/>
  <c r="L9" i="3" s="1"/>
  <c r="L8" i="12"/>
  <c r="L8" i="2"/>
  <c r="L9" i="2" s="1"/>
  <c r="Q19" i="5"/>
  <c r="L9" i="12" l="1"/>
  <c r="L11" i="12" s="1"/>
  <c r="L12" i="12" s="1"/>
  <c r="L11" i="2"/>
  <c r="L12" i="2" s="1"/>
  <c r="L11" i="3"/>
  <c r="L12" i="3" s="1"/>
  <c r="Q20" i="5"/>
  <c r="O11" i="2" l="1"/>
  <c r="L16" i="2"/>
  <c r="U9" i="8"/>
  <c r="L14" i="2"/>
  <c r="J9" i="8"/>
  <c r="Q21" i="5"/>
  <c r="H9" i="8" l="1"/>
  <c r="B10" i="6"/>
  <c r="C10" i="6" s="1"/>
  <c r="N41" i="7"/>
  <c r="B11" i="6" s="1"/>
  <c r="C11" i="6" s="1"/>
  <c r="U41" i="7"/>
  <c r="B12" i="6" s="1"/>
  <c r="C12" i="6" s="1"/>
  <c r="O9" i="2"/>
  <c r="T7" i="2"/>
  <c r="G9" i="8"/>
  <c r="Q22" i="5"/>
  <c r="L18" i="2" l="1"/>
  <c r="I9" i="8" s="1"/>
  <c r="F9" i="8"/>
  <c r="Q23" i="5"/>
  <c r="T8" i="2" l="1"/>
  <c r="T9" i="2" s="1"/>
  <c r="E9" i="8" s="1"/>
  <c r="L14" i="3"/>
  <c r="L16" i="3"/>
  <c r="L18" i="3" s="1"/>
  <c r="S9" i="8" s="1"/>
  <c r="Q9" i="8"/>
  <c r="O16" i="12"/>
  <c r="O18" i="12" s="1"/>
  <c r="AB9" i="8" s="1"/>
  <c r="L14" i="12"/>
  <c r="L16" i="12"/>
  <c r="L18" i="12" s="1"/>
  <c r="AE9" i="8" s="1"/>
  <c r="O11" i="3"/>
  <c r="O8" i="3"/>
  <c r="T9" i="8" s="1"/>
  <c r="P9" i="8"/>
  <c r="AA9" i="8"/>
  <c r="O7" i="12"/>
  <c r="AG9" i="8" s="1"/>
  <c r="O11" i="12"/>
  <c r="Q24" i="5"/>
  <c r="T8" i="12" l="1"/>
  <c r="T8" i="3"/>
  <c r="O14" i="3"/>
  <c r="R9" i="8" s="1"/>
  <c r="O14" i="12"/>
  <c r="AD9" i="8" s="1"/>
  <c r="O9" i="12"/>
  <c r="AC9" i="8" s="1"/>
  <c r="Q25" i="5"/>
  <c r="T7" i="12" l="1"/>
  <c r="T9" i="12" s="1"/>
  <c r="Z9" i="8" s="1"/>
  <c r="T7" i="3"/>
  <c r="T9" i="3" s="1"/>
  <c r="O9" i="8" s="1"/>
  <c r="Q26" i="5"/>
  <c r="Q27" i="5" l="1"/>
  <c r="Q28"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Ethan Barrows</author>
  </authors>
  <commentList>
    <comment ref="AB10" authorId="0" shapeId="0" xr:uid="{4C165CE7-946C-4603-83F2-C5C0C635EA0C}">
      <text>
        <r>
          <rPr>
            <sz val="14"/>
            <color indexed="81"/>
            <rFont val="Tahoma"/>
            <family val="2"/>
          </rPr>
          <t>Changes the 2018 sales volume in the models.</t>
        </r>
      </text>
    </comment>
    <comment ref="AB11" authorId="0" shapeId="0" xr:uid="{9ACC3DCE-7829-4407-9F44-02AF1B34D7FB}">
      <text>
        <r>
          <rPr>
            <sz val="14"/>
            <color indexed="81"/>
            <rFont val="Tahoma"/>
            <family val="2"/>
          </rPr>
          <t>Changes the 2018 sales revenue in the models.</t>
        </r>
      </text>
    </comment>
    <comment ref="AB13" authorId="0" shapeId="0" xr:uid="{03054575-6647-4C7F-B209-742FF2148EF3}">
      <text>
        <r>
          <rPr>
            <sz val="14"/>
            <color indexed="81"/>
            <rFont val="Tahoma"/>
            <family val="2"/>
          </rPr>
          <t>Changes the year in which the simulation takes place. Only has an effect if natural demand increase is enabled.</t>
        </r>
      </text>
    </comment>
    <comment ref="AG13" authorId="0" shapeId="0" xr:uid="{E07B2C42-7A2F-428E-A08E-7C99D1C774FA}">
      <text>
        <r>
          <rPr>
            <sz val="14"/>
            <color indexed="81"/>
            <rFont val="Tahoma"/>
            <family val="2"/>
          </rPr>
          <t>The volume before ths demand increase from advertising in the simulated year.</t>
        </r>
      </text>
    </comment>
    <comment ref="AB15" authorId="0" shapeId="0" xr:uid="{AF8B57A8-6BCC-45A0-8E6E-0B5550598848}">
      <text>
        <r>
          <rPr>
            <sz val="14"/>
            <color indexed="81"/>
            <rFont val="Tahoma"/>
            <family val="2"/>
          </rPr>
          <t>The drink types simulated In the model. Changes the historical volume and revenue.</t>
        </r>
      </text>
    </comment>
    <comment ref="AB18" authorId="0" shapeId="0" xr:uid="{E33C7B84-5C33-4694-9AF3-A55CF3AF52F6}">
      <text>
        <r>
          <rPr>
            <sz val="14"/>
            <color indexed="81"/>
            <rFont val="Tahoma"/>
            <family val="2"/>
          </rPr>
          <t>The percentage by which drinks sold in mugs are discounted. The numerical price is shown below for reference.</t>
        </r>
      </text>
    </comment>
    <comment ref="AB27" authorId="0" shapeId="0" xr:uid="{D40F296B-AE5C-40BA-8616-5DCFBAABF72E}">
      <text>
        <r>
          <rPr>
            <sz val="14"/>
            <color indexed="81"/>
            <rFont val="Tahoma"/>
            <family val="2"/>
          </rPr>
          <t>The selling price of the drinks in the simulation.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Ethan Barrows</author>
  </authors>
  <commentList>
    <comment ref="D7" authorId="0" shapeId="0" xr:uid="{0BD022EB-7F06-4AE8-94DE-532047B27EB5}">
      <text>
        <r>
          <rPr>
            <sz val="9"/>
            <color indexed="81"/>
            <rFont val="Tahoma"/>
            <family val="2"/>
          </rPr>
          <t>Magic cell !!!</t>
        </r>
      </text>
    </comment>
    <comment ref="N7" authorId="0" shapeId="0" xr:uid="{6CDD1750-5837-4D84-A4D2-B9A7B27EF6BB}">
      <text>
        <r>
          <rPr>
            <sz val="9"/>
            <color indexed="81"/>
            <rFont val="Tahoma"/>
            <family val="2"/>
          </rPr>
          <t>Magic cell !!!</t>
        </r>
      </text>
    </comment>
    <comment ref="Y7" authorId="0" shapeId="0" xr:uid="{997C7262-07BD-42F6-916F-60FA6ECE3870}">
      <text>
        <r>
          <rPr>
            <sz val="9"/>
            <color indexed="81"/>
            <rFont val="Tahoma"/>
            <family val="2"/>
          </rPr>
          <t>Magic cell !!!</t>
        </r>
      </text>
    </comment>
  </commentList>
</comments>
</file>

<file path=xl/sharedStrings.xml><?xml version="1.0" encoding="utf-8"?>
<sst xmlns="http://schemas.openxmlformats.org/spreadsheetml/2006/main" count="341" uniqueCount="170">
  <si>
    <t>Springfield Beans: Analysis of Compostable Cups &amp; Reusable Mugs</t>
  </si>
  <si>
    <t>Contents</t>
  </si>
  <si>
    <t>Key Features</t>
  </si>
  <si>
    <t>Compostable Cup Scenario</t>
  </si>
  <si>
    <t>Navigation Tools</t>
  </si>
  <si>
    <t>Reusable Mug Scenario</t>
  </si>
  <si>
    <t>Combined Scenario</t>
  </si>
  <si>
    <t>Model Controls</t>
  </si>
  <si>
    <t>Dashboard</t>
  </si>
  <si>
    <t>Extended Future Simulation</t>
  </si>
  <si>
    <t>Metrics</t>
  </si>
  <si>
    <t>Natural Demand Increase</t>
  </si>
  <si>
    <t>Authors</t>
  </si>
  <si>
    <t>Ethan Barrows</t>
  </si>
  <si>
    <t>etobarr@iu.edu</t>
  </si>
  <si>
    <t>Ellie Ebinger</t>
  </si>
  <si>
    <t>eebinger@iu.edu</t>
  </si>
  <si>
    <t>David Li</t>
  </si>
  <si>
    <t>dl46@iu.edu</t>
  </si>
  <si>
    <t>Haylie Polakoff</t>
  </si>
  <si>
    <t>hpolakof@iu.edu</t>
  </si>
  <si>
    <t>Saisha Karri</t>
  </si>
  <si>
    <t>saikarri@iu.edu</t>
  </si>
  <si>
    <t>Springfield Beans: Compostable Cup Scenario</t>
  </si>
  <si>
    <t>Current Year:</t>
  </si>
  <si>
    <t>Simulated Year:</t>
  </si>
  <si>
    <t>Comparison Metrics</t>
  </si>
  <si>
    <t>Sales Volume</t>
  </si>
  <si>
    <t>Revenue Gain</t>
  </si>
  <si>
    <t>Demand Increase %</t>
  </si>
  <si>
    <t>Cost Increase</t>
  </si>
  <si>
    <t>Sales Revenue</t>
  </si>
  <si>
    <t>Simulated Volume After Initiative</t>
  </si>
  <si>
    <t>Volume</t>
  </si>
  <si>
    <t>Bottom-Line Improvement</t>
  </si>
  <si>
    <t>Unit Cost of Disposable Cups</t>
  </si>
  <si>
    <t>Compostable Cup Success Rate</t>
  </si>
  <si>
    <t>Selling Price</t>
  </si>
  <si>
    <t>Total Cost</t>
  </si>
  <si>
    <t>Cups Composted</t>
  </si>
  <si>
    <t>Revenue</t>
  </si>
  <si>
    <t>Cups Thrown Away</t>
  </si>
  <si>
    <t>Constant</t>
  </si>
  <si>
    <t>Calculated</t>
  </si>
  <si>
    <t>Unit Cost of Compostable Cups</t>
  </si>
  <si>
    <t>Random</t>
  </si>
  <si>
    <t>Total Cost of Cups</t>
  </si>
  <si>
    <t>Objective</t>
  </si>
  <si>
    <t>Social Media Advertising Cost</t>
  </si>
  <si>
    <t>Springfield Beans: Reusable Mug Scenario</t>
  </si>
  <si>
    <t>Revenue gain</t>
  </si>
  <si>
    <t>Revenue Lost to Discounts</t>
  </si>
  <si>
    <t>Cost increase</t>
  </si>
  <si>
    <t>Bottom-line improvement</t>
  </si>
  <si>
    <t>Mug Success rate</t>
  </si>
  <si>
    <t>Mugs Used</t>
  </si>
  <si>
    <t>Number of Drinks in Mugs</t>
  </si>
  <si>
    <t xml:space="preserve">Disposable Cups Still Needed </t>
  </si>
  <si>
    <t>Selling Price with Mug</t>
  </si>
  <si>
    <t>Regular Selling Price</t>
  </si>
  <si>
    <t>Number of Disposable Cups</t>
  </si>
  <si>
    <t xml:space="preserve">  </t>
  </si>
  <si>
    <t>Social media advertising cost</t>
  </si>
  <si>
    <t>Springfield Beans: Combined Scenario</t>
  </si>
  <si>
    <t>Compostable Cups Used</t>
  </si>
  <si>
    <t>Compostable Cup Selling Price</t>
  </si>
  <si>
    <t>Number of Compostable Cups</t>
  </si>
  <si>
    <t>Springfield Beans: Analysis Dashboard</t>
  </si>
  <si>
    <t>Manage Assumptions</t>
  </si>
  <si>
    <t>2018 Sales Volume</t>
  </si>
  <si>
    <t>Incorporate Natural Demand Increase?</t>
  </si>
  <si>
    <t>2018 Sales Revenue</t>
  </si>
  <si>
    <t>OR</t>
  </si>
  <si>
    <t>Simulated  Year</t>
  </si>
  <si>
    <t>Initial Simulated Volume</t>
  </si>
  <si>
    <t>Drink Type:</t>
  </si>
  <si>
    <t>Hot</t>
  </si>
  <si>
    <t>Cold</t>
  </si>
  <si>
    <t>Exactly:</t>
  </si>
  <si>
    <t xml:space="preserve">  Mug Discount</t>
  </si>
  <si>
    <t>%</t>
  </si>
  <si>
    <t>Between:</t>
  </si>
  <si>
    <t>Cup Ad Cost</t>
  </si>
  <si>
    <t>Mug Ad Cost</t>
  </si>
  <si>
    <t>Combined Ad Cost</t>
  </si>
  <si>
    <t>Mug Success Rate</t>
  </si>
  <si>
    <t>Unit cost of disposable cups</t>
  </si>
  <si>
    <t>Unit cost of compostable cups</t>
  </si>
  <si>
    <t>Selling price</t>
  </si>
  <si>
    <t>Cups Composted/Mugs Used</t>
  </si>
  <si>
    <t>Mean</t>
  </si>
  <si>
    <t>St. Dev.</t>
  </si>
  <si>
    <t>Percentiles</t>
  </si>
  <si>
    <t>Risk of Loss:</t>
  </si>
  <si>
    <t>Probability of Saving Cups:</t>
  </si>
  <si>
    <t>2018 Revenue</t>
  </si>
  <si>
    <t>Historical</t>
  </si>
  <si>
    <t>2018 Costs</t>
  </si>
  <si>
    <t>No Initiative</t>
  </si>
  <si>
    <t>Compostable Cups</t>
  </si>
  <si>
    <t>Reusable Mugs</t>
  </si>
  <si>
    <t>Combined</t>
  </si>
  <si>
    <r>
      <t xml:space="preserve">Pounds of cups </t>
    </r>
    <r>
      <rPr>
        <b/>
        <sz val="18"/>
        <color theme="0"/>
        <rFont val="Calibri"/>
        <family val="2"/>
        <scheme val="minor"/>
      </rPr>
      <t>Diverted</t>
    </r>
    <r>
      <rPr>
        <sz val="18"/>
        <color theme="0"/>
        <rFont val="Calibri"/>
        <family val="2"/>
        <scheme val="minor"/>
      </rPr>
      <t xml:space="preserve"> from the Landfill</t>
    </r>
  </si>
  <si>
    <t>Springfield Beans: Metrics for Models &amp; Analysis</t>
  </si>
  <si>
    <t xml:space="preserve"> =  Historical Value</t>
  </si>
  <si>
    <t xml:space="preserve"> =  Estimated Value</t>
  </si>
  <si>
    <t>Cold Drinks</t>
  </si>
  <si>
    <t>Hot Drinks</t>
  </si>
  <si>
    <t>Both</t>
  </si>
  <si>
    <t>Demand Increase Probability Table</t>
  </si>
  <si>
    <t>Random Numbers</t>
  </si>
  <si>
    <t>Likelihood</t>
  </si>
  <si>
    <t>For Sucessful Trials</t>
  </si>
  <si>
    <t>YearC</t>
  </si>
  <si>
    <t>Sales VolumeC</t>
  </si>
  <si>
    <t>Sales RevenueC</t>
  </si>
  <si>
    <t>YearH</t>
  </si>
  <si>
    <t>Sales VolumeH</t>
  </si>
  <si>
    <t>Sales RevenueH</t>
  </si>
  <si>
    <t>YearB</t>
  </si>
  <si>
    <t>Sales VolumeB</t>
  </si>
  <si>
    <t>Sales RevenueB</t>
  </si>
  <si>
    <t>-</t>
  </si>
  <si>
    <t>Springfield Beans: Simulations for Analysis</t>
  </si>
  <si>
    <t>Simulation</t>
  </si>
  <si>
    <t>Cups composted</t>
  </si>
  <si>
    <t>Cups thrown away</t>
  </si>
  <si>
    <t>Costs</t>
  </si>
  <si>
    <t>Mugs used</t>
  </si>
  <si>
    <t>Revenue Lost to Discount</t>
  </si>
  <si>
    <t>Cup Success Rate</t>
  </si>
  <si>
    <t>Drink type check boxes</t>
  </si>
  <si>
    <t>Assumptions</t>
  </si>
  <si>
    <t>Current Sales Volume</t>
  </si>
  <si>
    <t>Success rate spin buttons</t>
  </si>
  <si>
    <t>Current Sales Revenue</t>
  </si>
  <si>
    <t>Cups</t>
  </si>
  <si>
    <t>Mugs</t>
  </si>
  <si>
    <t>Simulated Year</t>
  </si>
  <si>
    <t>Opposite rates for probability of saving cups pie chart</t>
  </si>
  <si>
    <t>Probability of Saving Cups</t>
  </si>
  <si>
    <t>Probability of Using More Cups</t>
  </si>
  <si>
    <t>Compostable Success Rate</t>
  </si>
  <si>
    <t>Mug Discount</t>
  </si>
  <si>
    <t>Selling price of compostable drinks</t>
  </si>
  <si>
    <t>Selling price of disposable drinks</t>
  </si>
  <si>
    <t>Ideas</t>
  </si>
  <si>
    <t>presentation</t>
  </si>
  <si>
    <t>recap part 1</t>
  </si>
  <si>
    <t>General</t>
  </si>
  <si>
    <t>Specific</t>
  </si>
  <si>
    <t>first 2 models</t>
  </si>
  <si>
    <t>better format for reorganization(even cell width)</t>
  </si>
  <si>
    <t>ad amount affect demand increase %</t>
  </si>
  <si>
    <t>brief forecast hint</t>
  </si>
  <si>
    <t>more/better charts?</t>
  </si>
  <si>
    <t>button to toggle average annual/total</t>
  </si>
  <si>
    <t>combined scenario</t>
  </si>
  <si>
    <t>links -&gt; macro buttons</t>
  </si>
  <si>
    <t>better regression for metrics (not just linear)</t>
  </si>
  <si>
    <t>results</t>
  </si>
  <si>
    <t>all links on each worksheet</t>
  </si>
  <si>
    <t xml:space="preserve">more options for demand increase % </t>
  </si>
  <si>
    <t>metrics</t>
  </si>
  <si>
    <t xml:space="preserve"> FIX METRICS</t>
  </si>
  <si>
    <t>assumptions</t>
  </si>
  <si>
    <t>fix conditional formatting</t>
  </si>
  <si>
    <t>dashboard</t>
  </si>
  <si>
    <t>Questions</t>
  </si>
  <si>
    <t>equal bins across histograms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</si>
</sst>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quot;$&quot;* #,##0_);_(&quot;$&quot;* \(#,##0\);_(&quot;$&quot;* &quot;-&quot;??_);_(@_)"/>
    <numFmt numFmtId="166" formatCode="&quot;$&quot;#,##0.00"/>
    <numFmt numFmtId="167" formatCode="&quot;lbs&quot;"/>
  </numFmts>
  <fonts count="50" x14ac:knownFonts="1">
    <font>
      <sz val="11"/>
      <color theme="1"/>
      <name val="Calibri"/>
      <family val="2"/>
      <scheme val="minor"/>
    </font>
    <font>
      <b/>
      <sz val="11"/>
      <color theme="0"/>
      <name val="Calibri"/>
      <family val="2"/>
      <scheme val="minor"/>
    </font>
    <font>
      <sz val="11"/>
      <color theme="1"/>
      <name val="Calibri"/>
      <family val="2"/>
    </font>
    <font>
      <b/>
      <sz val="12"/>
      <color theme="1"/>
      <name val="Calibri"/>
      <family val="2"/>
      <scheme val="minor"/>
    </font>
    <font>
      <sz val="9"/>
      <color indexed="81"/>
      <name val="Tahoma"/>
      <family val="2"/>
    </font>
    <font>
      <b/>
      <sz val="15"/>
      <color theme="3"/>
      <name val="Calibri"/>
      <family val="2"/>
      <scheme val="minor"/>
    </font>
    <font>
      <b/>
      <sz val="11"/>
      <color theme="3"/>
      <name val="Calibri"/>
      <family val="2"/>
      <scheme val="minor"/>
    </font>
    <font>
      <sz val="11"/>
      <color theme="1"/>
      <name val="Calibri"/>
      <family val="2"/>
      <scheme val="minor"/>
    </font>
    <font>
      <b/>
      <sz val="13"/>
      <color theme="3"/>
      <name val="Calibri"/>
      <family val="2"/>
      <scheme val="minor"/>
    </font>
    <font>
      <b/>
      <sz val="11"/>
      <color theme="9" tint="-0.24994659260841701"/>
      <name val="Calibri"/>
      <family val="2"/>
      <scheme val="minor"/>
    </font>
    <font>
      <u/>
      <sz val="11"/>
      <color theme="10"/>
      <name val="Calibri"/>
      <family val="2"/>
      <scheme val="minor"/>
    </font>
    <font>
      <u/>
      <sz val="11"/>
      <color theme="9" tint="-0.249977111117893"/>
      <name val="Calibri"/>
      <family val="2"/>
      <scheme val="minor"/>
    </font>
    <font>
      <b/>
      <sz val="15"/>
      <color theme="9" tint="-0.24994659260841701"/>
      <name val="Calibri"/>
      <family val="2"/>
      <scheme val="minor"/>
    </font>
    <font>
      <b/>
      <sz val="24"/>
      <color theme="9" tint="-0.24994659260841701"/>
      <name val="Calibri"/>
      <family val="2"/>
      <scheme val="minor"/>
    </font>
    <font>
      <sz val="14"/>
      <color theme="1"/>
      <name val="Calibri"/>
      <family val="2"/>
      <scheme val="minor"/>
    </font>
    <font>
      <b/>
      <sz val="16"/>
      <color theme="1"/>
      <name val="Calibri"/>
      <family val="2"/>
      <scheme val="minor"/>
    </font>
    <font>
      <sz val="12"/>
      <color theme="1"/>
      <name val="Calibri"/>
      <family val="2"/>
      <scheme val="minor"/>
    </font>
    <font>
      <u/>
      <sz val="16"/>
      <color theme="9" tint="-0.249977111117893"/>
      <name val="Calibri"/>
      <family val="2"/>
      <scheme val="minor"/>
    </font>
    <font>
      <b/>
      <sz val="14"/>
      <color theme="3"/>
      <name val="Calibri"/>
      <family val="2"/>
      <scheme val="minor"/>
    </font>
    <font>
      <u/>
      <sz val="12"/>
      <color theme="9" tint="-0.249977111117893"/>
      <name val="Calibri"/>
      <family val="2"/>
      <scheme val="minor"/>
    </font>
    <font>
      <b/>
      <sz val="16"/>
      <color theme="9" tint="-0.24994659260841701"/>
      <name val="Calibri"/>
      <family val="2"/>
      <scheme val="minor"/>
    </font>
    <font>
      <b/>
      <sz val="16"/>
      <color theme="3"/>
      <name val="Calibri"/>
      <family val="2"/>
      <scheme val="minor"/>
    </font>
    <font>
      <sz val="16"/>
      <color theme="1"/>
      <name val="Calibri"/>
      <family val="2"/>
      <scheme val="minor"/>
    </font>
    <font>
      <b/>
      <u/>
      <sz val="36"/>
      <color theme="0"/>
      <name val="Calibri"/>
      <family val="2"/>
      <scheme val="minor"/>
    </font>
    <font>
      <u/>
      <sz val="12"/>
      <color theme="0"/>
      <name val="Calibri"/>
      <family val="2"/>
      <scheme val="minor"/>
    </font>
    <font>
      <b/>
      <sz val="22"/>
      <color theme="9" tint="-0.24994659260841701"/>
      <name val="Calibri"/>
      <family val="2"/>
      <scheme val="minor"/>
    </font>
    <font>
      <sz val="20"/>
      <color theme="1"/>
      <name val="Calibri"/>
      <family val="2"/>
      <scheme val="minor"/>
    </font>
    <font>
      <u/>
      <sz val="18"/>
      <color theme="9" tint="-0.249977111117893"/>
      <name val="Calibri"/>
      <family val="2"/>
      <scheme val="minor"/>
    </font>
    <font>
      <u/>
      <sz val="20"/>
      <color theme="9" tint="-0.249977111117893"/>
      <name val="Calibri"/>
      <family val="2"/>
      <scheme val="minor"/>
    </font>
    <font>
      <b/>
      <u/>
      <sz val="20"/>
      <color theme="9" tint="-0.249977111117893"/>
      <name val="Calibri"/>
      <family val="2"/>
      <scheme val="minor"/>
    </font>
    <font>
      <b/>
      <sz val="36"/>
      <color theme="9" tint="-0.24994659260841701"/>
      <name val="Calibri"/>
      <family val="2"/>
      <scheme val="minor"/>
    </font>
    <font>
      <b/>
      <sz val="15"/>
      <color theme="9" tint="-0.249977111117893"/>
      <name val="Calibri"/>
      <family val="2"/>
      <scheme val="minor"/>
    </font>
    <font>
      <b/>
      <sz val="14"/>
      <color theme="9" tint="-0.249977111117893"/>
      <name val="Calibri"/>
      <family val="2"/>
      <scheme val="minor"/>
    </font>
    <font>
      <u/>
      <sz val="14"/>
      <color theme="9" tint="-0.249977111117893"/>
      <name val="Calibri"/>
      <family val="2"/>
      <scheme val="minor"/>
    </font>
    <font>
      <sz val="11"/>
      <color rgb="FF9C0006"/>
      <name val="Calibri"/>
      <family val="2"/>
      <scheme val="minor"/>
    </font>
    <font>
      <b/>
      <sz val="11"/>
      <color theme="1"/>
      <name val="Calibri"/>
      <family val="2"/>
      <scheme val="minor"/>
    </font>
    <font>
      <sz val="11"/>
      <color rgb="FF006100"/>
      <name val="Calibri"/>
      <family val="2"/>
      <scheme val="minor"/>
    </font>
    <font>
      <sz val="11"/>
      <color rgb="FFFF0000"/>
      <name val="Calibri"/>
      <family val="2"/>
      <scheme val="minor"/>
    </font>
    <font>
      <sz val="15"/>
      <color theme="1"/>
      <name val="Calibri"/>
      <family val="2"/>
      <scheme val="minor"/>
    </font>
    <font>
      <sz val="18"/>
      <color theme="1"/>
      <name val="Calibri"/>
      <family val="2"/>
      <scheme val="minor"/>
    </font>
    <font>
      <b/>
      <sz val="18"/>
      <color theme="1"/>
      <name val="Calibri"/>
      <family val="2"/>
      <scheme val="minor"/>
    </font>
    <font>
      <sz val="14"/>
      <name val="Calibri"/>
      <family val="2"/>
      <scheme val="minor"/>
    </font>
    <font>
      <sz val="13"/>
      <color theme="1"/>
      <name val="Calibri"/>
      <family val="2"/>
      <scheme val="minor"/>
    </font>
    <font>
      <sz val="14"/>
      <color indexed="81"/>
      <name val="Tahoma"/>
      <family val="2"/>
    </font>
    <font>
      <sz val="36"/>
      <color theme="1"/>
      <name val="Calibri"/>
      <family val="2"/>
      <scheme val="minor"/>
    </font>
    <font>
      <sz val="18"/>
      <color theme="0"/>
      <name val="Calibri"/>
      <family val="2"/>
      <scheme val="minor"/>
    </font>
    <font>
      <b/>
      <sz val="18"/>
      <color theme="0"/>
      <name val="Calibri"/>
      <family val="2"/>
      <scheme val="minor"/>
    </font>
    <font>
      <b/>
      <sz val="18"/>
      <color rgb="FF000000"/>
      <name val="Calibri"/>
      <family val="2"/>
    </font>
    <font>
      <b/>
      <sz val="28"/>
      <color rgb="FF000000"/>
      <name val="Calibri"/>
      <family val="2"/>
    </font>
    <font>
      <b/>
      <sz val="16"/>
      <color rgb="FF000000"/>
      <name val="Calibri"/>
      <family val="2"/>
    </font>
  </fonts>
  <fills count="20">
    <fill>
      <patternFill patternType="none"/>
    </fill>
    <fill>
      <patternFill patternType="gray125"/>
    </fill>
    <fill>
      <patternFill patternType="solid">
        <fgColor rgb="FFA5A5A5"/>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rgb="FFFFFF00"/>
        <bgColor indexed="64"/>
      </patternFill>
    </fill>
    <fill>
      <patternFill patternType="solid">
        <fgColor theme="7" tint="0.79998168889431442"/>
        <bgColor indexed="64"/>
      </patternFill>
    </fill>
    <fill>
      <patternFill patternType="solid">
        <fgColor theme="1"/>
        <bgColor indexed="64"/>
      </patternFill>
    </fill>
    <fill>
      <patternFill patternType="solid">
        <fgColor theme="9" tint="-0.249977111117893"/>
        <bgColor indexed="64"/>
      </patternFill>
    </fill>
    <fill>
      <patternFill patternType="solid">
        <fgColor theme="9"/>
        <bgColor indexed="64"/>
      </patternFill>
    </fill>
    <fill>
      <patternFill patternType="solid">
        <fgColor theme="9" tint="0.39997558519241921"/>
        <bgColor indexed="64"/>
      </patternFill>
    </fill>
    <fill>
      <patternFill patternType="solid">
        <fgColor theme="0"/>
        <bgColor indexed="64"/>
      </patternFill>
    </fill>
    <fill>
      <patternFill patternType="solid">
        <fgColor rgb="FF9AC77B"/>
        <bgColor indexed="64"/>
      </patternFill>
    </fill>
    <fill>
      <patternFill patternType="solid">
        <fgColor theme="2"/>
        <bgColor indexed="64"/>
      </patternFill>
    </fill>
    <fill>
      <patternFill patternType="solid">
        <fgColor theme="8" tint="0.59999389629810485"/>
        <bgColor indexed="64"/>
      </patternFill>
    </fill>
    <fill>
      <patternFill patternType="solid">
        <fgColor rgb="FFFCC8C9"/>
        <bgColor indexed="64"/>
      </patternFill>
    </fill>
    <fill>
      <patternFill patternType="solid">
        <fgColor rgb="FFFFC7CE"/>
      </patternFill>
    </fill>
    <fill>
      <patternFill patternType="solid">
        <fgColor rgb="FFC6EFCE"/>
      </patternFill>
    </fill>
    <fill>
      <patternFill patternType="solid">
        <fgColor rgb="FFA0CB83"/>
        <bgColor indexed="64"/>
      </patternFill>
    </fill>
  </fills>
  <borders count="89">
    <border>
      <left/>
      <right/>
      <top/>
      <bottom/>
      <diagonal/>
    </border>
    <border>
      <left style="double">
        <color rgb="FF3F3F3F"/>
      </left>
      <right style="double">
        <color rgb="FF3F3F3F"/>
      </right>
      <top style="double">
        <color rgb="FF3F3F3F"/>
      </top>
      <bottom style="double">
        <color rgb="FF3F3F3F"/>
      </bottom>
      <diagonal/>
    </border>
    <border>
      <left style="thin">
        <color indexed="64"/>
      </left>
      <right style="thin">
        <color indexed="64"/>
      </right>
      <top style="thin">
        <color indexed="64"/>
      </top>
      <bottom style="thin">
        <color indexed="64"/>
      </bottom>
      <diagonal/>
    </border>
    <border>
      <left style="medium">
        <color indexed="64"/>
      </left>
      <right/>
      <top/>
      <bottom/>
      <diagonal/>
    </border>
    <border>
      <left/>
      <right style="medium">
        <color indexed="64"/>
      </right>
      <top/>
      <bottom/>
      <diagonal/>
    </border>
    <border>
      <left/>
      <right/>
      <top/>
      <bottom style="thick">
        <color theme="4"/>
      </bottom>
      <diagonal/>
    </border>
    <border>
      <left/>
      <right/>
      <top/>
      <bottom style="medium">
        <color theme="4" tint="0.39997558519241921"/>
      </bottom>
      <diagonal/>
    </border>
    <border>
      <left style="medium">
        <color indexed="64"/>
      </left>
      <right/>
      <top style="thin">
        <color indexed="64"/>
      </top>
      <bottom style="medium">
        <color indexed="64"/>
      </bottom>
      <diagonal/>
    </border>
    <border>
      <left/>
      <right/>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bottom style="thin">
        <color indexed="64"/>
      </bottom>
      <diagonal/>
    </border>
    <border>
      <left/>
      <right/>
      <top/>
      <bottom style="thick">
        <color theme="4" tint="0.499984740745262"/>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double">
        <color indexed="64"/>
      </top>
      <bottom style="double">
        <color indexed="64"/>
      </bottom>
      <diagonal/>
    </border>
    <border>
      <left/>
      <right/>
      <top/>
      <bottom style="thick">
        <color theme="9" tint="0.39994506668294322"/>
      </bottom>
      <diagonal/>
    </border>
    <border>
      <left/>
      <right/>
      <top/>
      <bottom style="thick">
        <color theme="9" tint="-0.24994659260841701"/>
      </bottom>
      <diagonal/>
    </border>
    <border>
      <left style="medium">
        <color theme="1"/>
      </left>
      <right/>
      <top style="medium">
        <color theme="1"/>
      </top>
      <bottom style="thick">
        <color theme="9" tint="-0.24994659260841701"/>
      </bottom>
      <diagonal/>
    </border>
    <border>
      <left/>
      <right/>
      <top style="medium">
        <color theme="1"/>
      </top>
      <bottom style="thick">
        <color theme="9" tint="-0.24994659260841701"/>
      </bottom>
      <diagonal/>
    </border>
    <border>
      <left/>
      <right style="medium">
        <color theme="1"/>
      </right>
      <top style="medium">
        <color theme="1"/>
      </top>
      <bottom style="thick">
        <color theme="9" tint="-0.24994659260841701"/>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thin">
        <color theme="1"/>
      </left>
      <right/>
      <top style="thin">
        <color theme="1"/>
      </top>
      <bottom style="thin">
        <color theme="1"/>
      </bottom>
      <diagonal/>
    </border>
    <border>
      <left/>
      <right style="thin">
        <color theme="1"/>
      </right>
      <top style="thin">
        <color theme="1"/>
      </top>
      <bottom style="thin">
        <color theme="1"/>
      </bottom>
      <diagonal/>
    </border>
    <border>
      <left style="thin">
        <color theme="1"/>
      </left>
      <right style="thin">
        <color theme="1"/>
      </right>
      <top style="thin">
        <color theme="1"/>
      </top>
      <bottom style="thin">
        <color theme="1"/>
      </bottom>
      <diagonal/>
    </border>
    <border>
      <left style="thin">
        <color indexed="64"/>
      </left>
      <right/>
      <top/>
      <bottom/>
      <diagonal/>
    </border>
    <border>
      <left/>
      <right/>
      <top/>
      <bottom style="double">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thin">
        <color indexed="64"/>
      </right>
      <top/>
      <bottom/>
      <diagonal/>
    </border>
    <border>
      <left/>
      <right style="thin">
        <color indexed="64"/>
      </right>
      <top style="medium">
        <color indexed="64"/>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right style="thin">
        <color indexed="64"/>
      </right>
      <top/>
      <bottom style="medium">
        <color indexed="64"/>
      </bottom>
      <diagonal/>
    </border>
    <border>
      <left style="thin">
        <color indexed="64"/>
      </left>
      <right/>
      <top style="thick">
        <color theme="9" tint="-0.24994659260841701"/>
      </top>
      <bottom/>
      <diagonal/>
    </border>
    <border>
      <left/>
      <right/>
      <top style="thick">
        <color theme="9" tint="-0.24994659260841701"/>
      </top>
      <bottom/>
      <diagonal/>
    </border>
    <border>
      <left/>
      <right/>
      <top/>
      <bottom style="thin">
        <color indexed="64"/>
      </bottom>
      <diagonal/>
    </border>
    <border>
      <left/>
      <right style="thin">
        <color indexed="64"/>
      </right>
      <top style="thick">
        <color theme="9" tint="-0.24994659260841701"/>
      </top>
      <bottom/>
      <diagonal/>
    </border>
    <border>
      <left/>
      <right style="thin">
        <color indexed="64"/>
      </right>
      <top style="thick">
        <color theme="9" tint="0.39994506668294322"/>
      </top>
      <bottom/>
      <diagonal/>
    </border>
    <border>
      <left/>
      <right/>
      <top style="thick">
        <color theme="9" tint="0.39994506668294322"/>
      </top>
      <bottom/>
      <diagonal/>
    </border>
    <border>
      <left style="thin">
        <color indexed="64"/>
      </left>
      <right/>
      <top style="thick">
        <color theme="9" tint="0.39994506668294322"/>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right style="thin">
        <color theme="1"/>
      </right>
      <top style="medium">
        <color theme="1"/>
      </top>
      <bottom/>
      <diagonal/>
    </border>
    <border>
      <left/>
      <right style="thin">
        <color theme="1"/>
      </right>
      <top/>
      <bottom style="medium">
        <color theme="1"/>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style="thick">
        <color theme="9" tint="-0.24994659260841701"/>
      </bottom>
      <diagonal/>
    </border>
    <border>
      <left/>
      <right/>
      <top style="medium">
        <color indexed="64"/>
      </top>
      <bottom style="thick">
        <color theme="9" tint="-0.24994659260841701"/>
      </bottom>
      <diagonal/>
    </border>
    <border>
      <left/>
      <right style="medium">
        <color indexed="64"/>
      </right>
      <top style="medium">
        <color indexed="64"/>
      </top>
      <bottom style="thick">
        <color theme="9" tint="-0.24994659260841701"/>
      </bottom>
      <diagonal/>
    </border>
    <border>
      <left/>
      <right style="medium">
        <color indexed="64"/>
      </right>
      <top style="medium">
        <color indexed="64"/>
      </top>
      <bottom/>
      <diagonal/>
    </border>
    <border>
      <left/>
      <right style="thin">
        <color indexed="64"/>
      </right>
      <top style="medium">
        <color indexed="64"/>
      </top>
      <bottom style="medium">
        <color indexed="64"/>
      </bottom>
      <diagonal/>
    </border>
    <border>
      <left/>
      <right/>
      <top style="medium">
        <color indexed="64"/>
      </top>
      <bottom style="thin">
        <color indexed="64"/>
      </bottom>
      <diagonal/>
    </border>
    <border>
      <left style="medium">
        <color indexed="64"/>
      </left>
      <right/>
      <top style="medium">
        <color indexed="64"/>
      </top>
      <bottom style="thick">
        <color theme="9" tint="0.39994506668294322"/>
      </bottom>
      <diagonal/>
    </border>
    <border>
      <left/>
      <right/>
      <top style="medium">
        <color indexed="64"/>
      </top>
      <bottom style="thick">
        <color theme="9" tint="0.39994506668294322"/>
      </bottom>
      <diagonal/>
    </border>
    <border>
      <left/>
      <right style="medium">
        <color indexed="64"/>
      </right>
      <top style="medium">
        <color indexed="64"/>
      </top>
      <bottom style="thick">
        <color theme="9" tint="0.39994506668294322"/>
      </bottom>
      <diagonal/>
    </border>
    <border>
      <left/>
      <right/>
      <top style="thick">
        <color theme="9" tint="0.39994506668294322"/>
      </top>
      <bottom style="medium">
        <color indexed="64"/>
      </bottom>
      <diagonal/>
    </border>
    <border>
      <left/>
      <right style="medium">
        <color indexed="64"/>
      </right>
      <top style="thick">
        <color theme="9" tint="0.39994506668294322"/>
      </top>
      <bottom style="medium">
        <color indexed="64"/>
      </bottom>
      <diagonal/>
    </border>
    <border>
      <left style="medium">
        <color indexed="64"/>
      </left>
      <right/>
      <top style="thick">
        <color theme="9" tint="0.39994506668294322"/>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thick">
        <color theme="9" tint="0.39994506668294322"/>
      </top>
      <bottom style="medium">
        <color indexed="64"/>
      </bottom>
      <diagonal/>
    </border>
    <border>
      <left style="thin">
        <color theme="1"/>
      </left>
      <right/>
      <top style="thick">
        <color theme="9" tint="0.39994506668294322"/>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theme="1"/>
      </top>
      <bottom style="medium">
        <color theme="1"/>
      </bottom>
      <diagonal/>
    </border>
    <border>
      <left/>
      <right style="thin">
        <color theme="1"/>
      </right>
      <top style="medium">
        <color theme="1"/>
      </top>
      <bottom style="medium">
        <color theme="1"/>
      </bottom>
      <diagonal/>
    </border>
  </borders>
  <cellStyleXfs count="12">
    <xf numFmtId="0" fontId="0" fillId="0" borderId="0"/>
    <xf numFmtId="0" fontId="1" fillId="2" borderId="1" applyNumberFormat="0" applyAlignment="0" applyProtection="0"/>
    <xf numFmtId="0" fontId="5" fillId="0" borderId="5" applyNumberFormat="0" applyFill="0" applyAlignment="0" applyProtection="0"/>
    <xf numFmtId="0" fontId="6" fillId="0" borderId="6" applyNumberFormat="0" applyFill="0" applyAlignment="0" applyProtection="0"/>
    <xf numFmtId="43" fontId="7" fillId="0" borderId="0" applyFont="0" applyFill="0" applyBorder="0" applyAlignment="0" applyProtection="0"/>
    <xf numFmtId="9" fontId="7" fillId="0" borderId="0" applyFont="0" applyFill="0" applyBorder="0" applyAlignment="0" applyProtection="0"/>
    <xf numFmtId="0" fontId="8" fillId="0" borderId="11" applyNumberFormat="0" applyFill="0" applyAlignment="0" applyProtection="0"/>
    <xf numFmtId="0" fontId="6" fillId="0" borderId="0" applyNumberFormat="0" applyFill="0" applyBorder="0" applyAlignment="0" applyProtection="0"/>
    <xf numFmtId="0" fontId="10" fillId="0" borderId="0" applyNumberFormat="0" applyFill="0" applyBorder="0" applyAlignment="0" applyProtection="0"/>
    <xf numFmtId="44" fontId="7" fillId="0" borderId="0" applyFont="0" applyFill="0" applyBorder="0" applyAlignment="0" applyProtection="0"/>
    <xf numFmtId="0" fontId="34" fillId="17" borderId="0" applyNumberFormat="0" applyBorder="0" applyAlignment="0" applyProtection="0"/>
    <xf numFmtId="0" fontId="36" fillId="18" borderId="0" applyNumberFormat="0" applyBorder="0" applyAlignment="0" applyProtection="0"/>
  </cellStyleXfs>
  <cellXfs count="338">
    <xf numFmtId="0" fontId="0" fillId="0" borderId="0" xfId="0"/>
    <xf numFmtId="165" fontId="0" fillId="5" borderId="2" xfId="0" applyNumberFormat="1" applyFill="1" applyBorder="1"/>
    <xf numFmtId="164" fontId="0" fillId="5" borderId="2" xfId="4" applyNumberFormat="1" applyFont="1" applyFill="1" applyBorder="1"/>
    <xf numFmtId="164" fontId="0" fillId="3" borderId="2" xfId="4" applyNumberFormat="1" applyFont="1" applyFill="1" applyBorder="1"/>
    <xf numFmtId="9" fontId="0" fillId="5" borderId="2" xfId="5" applyFont="1" applyFill="1" applyBorder="1"/>
    <xf numFmtId="0" fontId="0" fillId="6" borderId="0" xfId="0" applyFill="1"/>
    <xf numFmtId="0" fontId="0" fillId="8" borderId="0" xfId="0" applyFill="1"/>
    <xf numFmtId="0" fontId="0" fillId="3" borderId="41" xfId="0" applyFill="1" applyBorder="1"/>
    <xf numFmtId="9" fontId="0" fillId="0" borderId="0" xfId="0" applyNumberFormat="1"/>
    <xf numFmtId="164" fontId="1" fillId="2" borderId="1" xfId="1" applyNumberFormat="1"/>
    <xf numFmtId="0" fontId="0" fillId="9" borderId="45" xfId="0" applyFill="1" applyBorder="1"/>
    <xf numFmtId="0" fontId="16" fillId="9" borderId="45" xfId="0" applyFont="1" applyFill="1" applyBorder="1"/>
    <xf numFmtId="0" fontId="0" fillId="10" borderId="45" xfId="0" applyFill="1" applyBorder="1"/>
    <xf numFmtId="0" fontId="0" fillId="11" borderId="45" xfId="0" applyFill="1" applyBorder="1"/>
    <xf numFmtId="0" fontId="0" fillId="8" borderId="45" xfId="0" applyFill="1" applyBorder="1"/>
    <xf numFmtId="0" fontId="0" fillId="8" borderId="20" xfId="0" applyFill="1" applyBorder="1"/>
    <xf numFmtId="0" fontId="12" fillId="14" borderId="30" xfId="2" applyFont="1" applyFill="1" applyBorder="1" applyAlignment="1"/>
    <xf numFmtId="0" fontId="0" fillId="14" borderId="0" xfId="0" applyFill="1"/>
    <xf numFmtId="0" fontId="12" fillId="14" borderId="0" xfId="2" applyFont="1" applyFill="1" applyBorder="1" applyAlignment="1"/>
    <xf numFmtId="0" fontId="22" fillId="14" borderId="0" xfId="0" applyFont="1" applyFill="1"/>
    <xf numFmtId="0" fontId="11" fillId="14" borderId="0" xfId="8" applyFont="1" applyFill="1"/>
    <xf numFmtId="0" fontId="17" fillId="14" borderId="0" xfId="8" applyFont="1" applyFill="1" applyAlignment="1">
      <alignment horizontal="left"/>
    </xf>
    <xf numFmtId="0" fontId="19" fillId="14" borderId="0" xfId="8" applyFont="1" applyFill="1" applyAlignment="1">
      <alignment horizontal="left"/>
    </xf>
    <xf numFmtId="0" fontId="16" fillId="14" borderId="0" xfId="0" applyFont="1" applyFill="1"/>
    <xf numFmtId="0" fontId="21" fillId="14" borderId="0" xfId="6" applyNumberFormat="1" applyFont="1" applyFill="1" applyBorder="1" applyAlignment="1"/>
    <xf numFmtId="0" fontId="14" fillId="14" borderId="0" xfId="0" applyFont="1" applyFill="1"/>
    <xf numFmtId="9" fontId="14" fillId="14" borderId="0" xfId="5" applyFont="1" applyFill="1" applyBorder="1"/>
    <xf numFmtId="0" fontId="16" fillId="12" borderId="34" xfId="0" applyFont="1" applyFill="1" applyBorder="1"/>
    <xf numFmtId="0" fontId="16" fillId="12" borderId="0" xfId="0" applyFont="1" applyFill="1"/>
    <xf numFmtId="0" fontId="16" fillId="12" borderId="35" xfId="0" applyFont="1" applyFill="1" applyBorder="1"/>
    <xf numFmtId="0" fontId="0" fillId="12" borderId="34" xfId="0" applyFill="1" applyBorder="1"/>
    <xf numFmtId="0" fontId="0" fillId="12" borderId="35" xfId="0" applyFill="1" applyBorder="1"/>
    <xf numFmtId="0" fontId="20" fillId="12" borderId="29" xfId="3" applyFont="1" applyFill="1" applyBorder="1" applyAlignment="1">
      <alignment horizontal="center" vertical="center" wrapText="1"/>
    </xf>
    <xf numFmtId="0" fontId="20" fillId="12" borderId="29" xfId="3" applyFont="1" applyFill="1" applyBorder="1" applyAlignment="1">
      <alignment horizontal="center" vertical="center"/>
    </xf>
    <xf numFmtId="0" fontId="21" fillId="12" borderId="35" xfId="6" applyNumberFormat="1" applyFont="1" applyFill="1" applyBorder="1" applyAlignment="1"/>
    <xf numFmtId="0" fontId="22" fillId="12" borderId="34" xfId="0" applyFont="1" applyFill="1" applyBorder="1"/>
    <xf numFmtId="0" fontId="22" fillId="12" borderId="0" xfId="0" applyFont="1" applyFill="1"/>
    <xf numFmtId="0" fontId="22" fillId="12" borderId="35" xfId="0" applyFont="1" applyFill="1" applyBorder="1"/>
    <xf numFmtId="0" fontId="20" fillId="12" borderId="29" xfId="3" applyFont="1" applyFill="1" applyBorder="1" applyAlignment="1">
      <alignment vertical="center" wrapText="1"/>
    </xf>
    <xf numFmtId="0" fontId="22" fillId="12" borderId="0" xfId="0" applyFont="1" applyFill="1" applyAlignment="1">
      <alignment horizontal="right"/>
    </xf>
    <xf numFmtId="44" fontId="14" fillId="12" borderId="2" xfId="0" applyNumberFormat="1" applyFont="1" applyFill="1" applyBorder="1"/>
    <xf numFmtId="164" fontId="14" fillId="12" borderId="2" xfId="4" applyNumberFormat="1" applyFont="1" applyFill="1" applyBorder="1"/>
    <xf numFmtId="9" fontId="14" fillId="12" borderId="35" xfId="5" applyFont="1" applyFill="1" applyBorder="1"/>
    <xf numFmtId="0" fontId="14" fillId="12" borderId="34" xfId="0" applyFont="1" applyFill="1" applyBorder="1"/>
    <xf numFmtId="0" fontId="14" fillId="12" borderId="35" xfId="0" applyFont="1" applyFill="1" applyBorder="1"/>
    <xf numFmtId="165" fontId="14" fillId="12" borderId="2" xfId="0" applyNumberFormat="1" applyFont="1" applyFill="1" applyBorder="1"/>
    <xf numFmtId="0" fontId="14" fillId="12" borderId="0" xfId="0" applyFont="1" applyFill="1"/>
    <xf numFmtId="44" fontId="14" fillId="12" borderId="0" xfId="0" applyNumberFormat="1" applyFont="1" applyFill="1"/>
    <xf numFmtId="1" fontId="14" fillId="12" borderId="0" xfId="0" applyNumberFormat="1" applyFont="1" applyFill="1"/>
    <xf numFmtId="165" fontId="14" fillId="12" borderId="0" xfId="0" applyNumberFormat="1" applyFont="1" applyFill="1"/>
    <xf numFmtId="164" fontId="14" fillId="12" borderId="0" xfId="4" applyNumberFormat="1" applyFont="1" applyFill="1" applyBorder="1"/>
    <xf numFmtId="0" fontId="18" fillId="12" borderId="0" xfId="7" applyFont="1" applyFill="1" applyBorder="1" applyAlignment="1">
      <alignment horizontal="left"/>
    </xf>
    <xf numFmtId="164" fontId="18" fillId="12" borderId="0" xfId="4" applyNumberFormat="1" applyFont="1" applyFill="1" applyBorder="1" applyAlignment="1">
      <alignment horizontal="left"/>
    </xf>
    <xf numFmtId="9" fontId="22" fillId="12" borderId="0" xfId="5" applyFont="1" applyFill="1" applyBorder="1"/>
    <xf numFmtId="0" fontId="0" fillId="12" borderId="0" xfId="0" applyFill="1"/>
    <xf numFmtId="0" fontId="15" fillId="12" borderId="39" xfId="0" applyFont="1" applyFill="1" applyBorder="1"/>
    <xf numFmtId="9" fontId="15" fillId="12" borderId="40" xfId="5" applyFont="1" applyFill="1" applyBorder="1" applyAlignment="1">
      <alignment horizontal="left"/>
    </xf>
    <xf numFmtId="0" fontId="15" fillId="12" borderId="39" xfId="0" applyFont="1" applyFill="1" applyBorder="1" applyAlignment="1">
      <alignment horizontal="center"/>
    </xf>
    <xf numFmtId="0" fontId="16" fillId="12" borderId="36" xfId="0" applyFont="1" applyFill="1" applyBorder="1"/>
    <xf numFmtId="0" fontId="16" fillId="12" borderId="37" xfId="0" applyFont="1" applyFill="1" applyBorder="1"/>
    <xf numFmtId="0" fontId="16" fillId="12" borderId="38" xfId="0" applyFont="1" applyFill="1" applyBorder="1"/>
    <xf numFmtId="0" fontId="0" fillId="12" borderId="36" xfId="0" applyFill="1" applyBorder="1"/>
    <xf numFmtId="0" fontId="0" fillId="12" borderId="37" xfId="0" applyFill="1" applyBorder="1"/>
    <xf numFmtId="0" fontId="0" fillId="12" borderId="38" xfId="0" applyFill="1" applyBorder="1"/>
    <xf numFmtId="0" fontId="0" fillId="14" borderId="0" xfId="0" applyFill="1" applyAlignment="1">
      <alignment horizontal="center"/>
    </xf>
    <xf numFmtId="0" fontId="5" fillId="14" borderId="0" xfId="2" applyFill="1" applyBorder="1" applyAlignment="1">
      <alignment horizontal="center"/>
    </xf>
    <xf numFmtId="0" fontId="0" fillId="7" borderId="2" xfId="0" applyFill="1" applyBorder="1"/>
    <xf numFmtId="0" fontId="0" fillId="12" borderId="2" xfId="0" applyFill="1" applyBorder="1"/>
    <xf numFmtId="0" fontId="9" fillId="12" borderId="29" xfId="3" applyFont="1" applyFill="1" applyBorder="1"/>
    <xf numFmtId="1" fontId="0" fillId="12" borderId="0" xfId="0" applyNumberFormat="1" applyFill="1"/>
    <xf numFmtId="165" fontId="0" fillId="12" borderId="0" xfId="0" applyNumberFormat="1" applyFill="1"/>
    <xf numFmtId="0" fontId="0" fillId="14" borderId="3" xfId="0" applyFill="1" applyBorder="1"/>
    <xf numFmtId="0" fontId="0" fillId="12" borderId="3" xfId="0" applyFill="1" applyBorder="1"/>
    <xf numFmtId="0" fontId="0" fillId="12" borderId="4" xfId="0" applyFill="1" applyBorder="1"/>
    <xf numFmtId="0" fontId="3" fillId="12" borderId="0" xfId="0" applyFont="1" applyFill="1"/>
    <xf numFmtId="164" fontId="0" fillId="12" borderId="0" xfId="4" applyNumberFormat="1" applyFont="1" applyFill="1" applyBorder="1"/>
    <xf numFmtId="9" fontId="0" fillId="12" borderId="0" xfId="5" applyFont="1" applyFill="1" applyBorder="1"/>
    <xf numFmtId="0" fontId="0" fillId="12" borderId="14" xfId="0" applyFill="1" applyBorder="1"/>
    <xf numFmtId="0" fontId="0" fillId="12" borderId="15" xfId="0" applyFill="1" applyBorder="1"/>
    <xf numFmtId="0" fontId="0" fillId="12" borderId="16" xfId="0" applyFill="1" applyBorder="1"/>
    <xf numFmtId="43" fontId="0" fillId="12" borderId="0" xfId="4" applyFont="1" applyFill="1" applyBorder="1"/>
    <xf numFmtId="0" fontId="13" fillId="14" borderId="30" xfId="2" applyFont="1" applyFill="1" applyBorder="1" applyAlignment="1"/>
    <xf numFmtId="0" fontId="0" fillId="12" borderId="8" xfId="0" applyFill="1" applyBorder="1"/>
    <xf numFmtId="0" fontId="2" fillId="12" borderId="34" xfId="0" applyFont="1" applyFill="1" applyBorder="1"/>
    <xf numFmtId="0" fontId="0" fillId="12" borderId="28" xfId="0" applyFill="1" applyBorder="1"/>
    <xf numFmtId="2" fontId="0" fillId="12" borderId="37" xfId="0" applyNumberFormat="1" applyFill="1" applyBorder="1"/>
    <xf numFmtId="44" fontId="0" fillId="3" borderId="2" xfId="9" applyFont="1" applyFill="1" applyBorder="1"/>
    <xf numFmtId="164" fontId="0" fillId="5" borderId="2" xfId="4" applyNumberFormat="1" applyFont="1" applyFill="1" applyBorder="1" applyAlignment="1"/>
    <xf numFmtId="165" fontId="1" fillId="2" borderId="1" xfId="9" applyNumberFormat="1" applyFont="1" applyFill="1" applyBorder="1"/>
    <xf numFmtId="165" fontId="0" fillId="5" borderId="10" xfId="0" applyNumberFormat="1" applyFill="1" applyBorder="1"/>
    <xf numFmtId="0" fontId="0" fillId="14" borderId="0" xfId="0" applyFill="1" applyAlignment="1">
      <alignment horizontal="left"/>
    </xf>
    <xf numFmtId="0" fontId="14" fillId="12" borderId="38" xfId="0" applyFont="1" applyFill="1" applyBorder="1"/>
    <xf numFmtId="0" fontId="11" fillId="14" borderId="0" xfId="8" applyFont="1" applyFill="1" applyAlignment="1"/>
    <xf numFmtId="0" fontId="0" fillId="11" borderId="19" xfId="0" applyFill="1" applyBorder="1"/>
    <xf numFmtId="0" fontId="0" fillId="11" borderId="20" xfId="0" applyFill="1" applyBorder="1"/>
    <xf numFmtId="0" fontId="0" fillId="12" borderId="57" xfId="0" applyFill="1" applyBorder="1"/>
    <xf numFmtId="0" fontId="0" fillId="12" borderId="56" xfId="0" applyFill="1" applyBorder="1"/>
    <xf numFmtId="0" fontId="0" fillId="12" borderId="58" xfId="0" applyFill="1" applyBorder="1"/>
    <xf numFmtId="0" fontId="16" fillId="14" borderId="0" xfId="0" applyFont="1" applyFill="1" applyAlignment="1">
      <alignment vertical="center"/>
    </xf>
    <xf numFmtId="0" fontId="26" fillId="14" borderId="0" xfId="0" applyFont="1" applyFill="1"/>
    <xf numFmtId="0" fontId="28" fillId="14" borderId="0" xfId="8" applyFont="1" applyFill="1"/>
    <xf numFmtId="0" fontId="16" fillId="8" borderId="45" xfId="0" applyFont="1" applyFill="1" applyBorder="1"/>
    <xf numFmtId="0" fontId="16" fillId="10" borderId="45" xfId="0" applyFont="1" applyFill="1" applyBorder="1"/>
    <xf numFmtId="0" fontId="16" fillId="11" borderId="45" xfId="0" applyFont="1" applyFill="1" applyBorder="1"/>
    <xf numFmtId="0" fontId="14" fillId="12" borderId="61" xfId="0" applyFont="1" applyFill="1" applyBorder="1"/>
    <xf numFmtId="0" fontId="0" fillId="12" borderId="41" xfId="0" applyFill="1" applyBorder="1"/>
    <xf numFmtId="44" fontId="0" fillId="3" borderId="9" xfId="4" applyNumberFormat="1" applyFont="1" applyFill="1" applyBorder="1"/>
    <xf numFmtId="164" fontId="0" fillId="5" borderId="10" xfId="4" applyNumberFormat="1" applyFont="1" applyFill="1" applyBorder="1" applyAlignment="1"/>
    <xf numFmtId="44" fontId="0" fillId="3" borderId="9" xfId="9" applyFont="1" applyFill="1" applyBorder="1"/>
    <xf numFmtId="165" fontId="0" fillId="3" borderId="9" xfId="9" applyNumberFormat="1" applyFont="1" applyFill="1" applyBorder="1"/>
    <xf numFmtId="0" fontId="14" fillId="12" borderId="52" xfId="0" applyFont="1" applyFill="1" applyBorder="1" applyAlignment="1">
      <alignment horizontal="left" indent="1"/>
    </xf>
    <xf numFmtId="0" fontId="14" fillId="12" borderId="53" xfId="0" applyFont="1" applyFill="1" applyBorder="1" applyAlignment="1">
      <alignment horizontal="left" indent="1"/>
    </xf>
    <xf numFmtId="0" fontId="14" fillId="12" borderId="55" xfId="0" applyFont="1" applyFill="1" applyBorder="1" applyAlignment="1">
      <alignment horizontal="left" indent="1"/>
    </xf>
    <xf numFmtId="0" fontId="32" fillId="14" borderId="29" xfId="3" applyFont="1" applyFill="1" applyBorder="1" applyAlignment="1">
      <alignment horizontal="left" indent="1"/>
    </xf>
    <xf numFmtId="0" fontId="22" fillId="14" borderId="0" xfId="0" applyFont="1" applyFill="1" applyAlignment="1">
      <alignment vertical="center"/>
    </xf>
    <xf numFmtId="0" fontId="31" fillId="14" borderId="30" xfId="2" applyFont="1" applyFill="1" applyBorder="1" applyAlignment="1">
      <alignment horizontal="left" indent="1"/>
    </xf>
    <xf numFmtId="0" fontId="22" fillId="0" borderId="0" xfId="0" applyFont="1"/>
    <xf numFmtId="0" fontId="34" fillId="17" borderId="0" xfId="10"/>
    <xf numFmtId="0" fontId="35" fillId="0" borderId="0" xfId="0" applyFont="1"/>
    <xf numFmtId="0" fontId="0" fillId="0" borderId="4" xfId="0" applyBorder="1"/>
    <xf numFmtId="0" fontId="0" fillId="0" borderId="3" xfId="0" applyBorder="1"/>
    <xf numFmtId="0" fontId="0" fillId="14" borderId="42" xfId="0" quotePrefix="1" applyFill="1" applyBorder="1"/>
    <xf numFmtId="0" fontId="0" fillId="14" borderId="0" xfId="0" quotePrefix="1" applyFill="1"/>
    <xf numFmtId="9" fontId="0" fillId="3" borderId="41" xfId="5" applyFont="1" applyFill="1" applyBorder="1"/>
    <xf numFmtId="0" fontId="0" fillId="0" borderId="68" xfId="0" applyBorder="1"/>
    <xf numFmtId="1" fontId="0" fillId="0" borderId="0" xfId="0" applyNumberFormat="1"/>
    <xf numFmtId="0" fontId="0" fillId="0" borderId="14" xfId="0" applyBorder="1"/>
    <xf numFmtId="0" fontId="0" fillId="0" borderId="15" xfId="0" applyBorder="1"/>
    <xf numFmtId="0" fontId="0" fillId="0" borderId="16" xfId="0" applyBorder="1"/>
    <xf numFmtId="0" fontId="0" fillId="16" borderId="0" xfId="0" applyFill="1"/>
    <xf numFmtId="164" fontId="0" fillId="7" borderId="0" xfId="4" applyNumberFormat="1" applyFont="1" applyFill="1" applyBorder="1"/>
    <xf numFmtId="0" fontId="7" fillId="14" borderId="0" xfId="0" applyFont="1" applyFill="1"/>
    <xf numFmtId="0" fontId="7" fillId="12" borderId="34" xfId="0" applyFont="1" applyFill="1" applyBorder="1"/>
    <xf numFmtId="0" fontId="7" fillId="12" borderId="0" xfId="0" applyFont="1" applyFill="1"/>
    <xf numFmtId="0" fontId="7" fillId="12" borderId="35" xfId="0" applyFont="1" applyFill="1" applyBorder="1"/>
    <xf numFmtId="164" fontId="7" fillId="3" borderId="2" xfId="4" applyNumberFormat="1" applyFont="1" applyFill="1" applyBorder="1"/>
    <xf numFmtId="164" fontId="7" fillId="5" borderId="2" xfId="4" applyNumberFormat="1" applyFont="1" applyFill="1" applyBorder="1" applyAlignment="1"/>
    <xf numFmtId="165" fontId="7" fillId="5" borderId="2" xfId="0" applyNumberFormat="1" applyFont="1" applyFill="1" applyBorder="1"/>
    <xf numFmtId="0" fontId="7" fillId="12" borderId="8" xfId="0" applyFont="1" applyFill="1" applyBorder="1"/>
    <xf numFmtId="44" fontId="7" fillId="3" borderId="9" xfId="4" applyNumberFormat="1" applyFont="1" applyFill="1" applyBorder="1"/>
    <xf numFmtId="0" fontId="7" fillId="12" borderId="36" xfId="0" applyFont="1" applyFill="1" applyBorder="1"/>
    <xf numFmtId="0" fontId="7" fillId="12" borderId="37" xfId="0" applyFont="1" applyFill="1" applyBorder="1"/>
    <xf numFmtId="0" fontId="7" fillId="12" borderId="38" xfId="0" applyFont="1" applyFill="1" applyBorder="1"/>
    <xf numFmtId="165" fontId="7" fillId="5" borderId="10" xfId="0" applyNumberFormat="1" applyFont="1" applyFill="1" applyBorder="1"/>
    <xf numFmtId="0" fontId="7" fillId="12" borderId="28" xfId="0" applyFont="1" applyFill="1" applyBorder="1"/>
    <xf numFmtId="44" fontId="7" fillId="3" borderId="2" xfId="5" applyNumberFormat="1" applyFont="1" applyFill="1" applyBorder="1"/>
    <xf numFmtId="44" fontId="7" fillId="3" borderId="9" xfId="5" applyNumberFormat="1" applyFont="1" applyFill="1" applyBorder="1"/>
    <xf numFmtId="44" fontId="7" fillId="3" borderId="9" xfId="9" applyFont="1" applyFill="1" applyBorder="1"/>
    <xf numFmtId="164" fontId="7" fillId="5" borderId="10" xfId="4" applyNumberFormat="1" applyFont="1" applyFill="1" applyBorder="1" applyAlignment="1"/>
    <xf numFmtId="165" fontId="7" fillId="3" borderId="9" xfId="9" applyNumberFormat="1" applyFont="1" applyFill="1" applyBorder="1"/>
    <xf numFmtId="0" fontId="7" fillId="12" borderId="43" xfId="0" applyFont="1" applyFill="1" applyBorder="1"/>
    <xf numFmtId="2" fontId="7" fillId="12" borderId="37" xfId="0" applyNumberFormat="1" applyFont="1" applyFill="1" applyBorder="1"/>
    <xf numFmtId="0" fontId="38" fillId="14" borderId="0" xfId="0" applyFont="1" applyFill="1"/>
    <xf numFmtId="0" fontId="14" fillId="12" borderId="26" xfId="7" applyFont="1" applyFill="1" applyBorder="1" applyAlignment="1">
      <alignment horizontal="left"/>
    </xf>
    <xf numFmtId="0" fontId="14" fillId="12" borderId="50" xfId="7" applyFont="1" applyFill="1" applyBorder="1" applyAlignment="1">
      <alignment horizontal="left"/>
    </xf>
    <xf numFmtId="0" fontId="16" fillId="0" borderId="27" xfId="0" applyFont="1" applyBorder="1" applyAlignment="1">
      <alignment horizontal="left" vertical="center"/>
    </xf>
    <xf numFmtId="0" fontId="14" fillId="12" borderId="60" xfId="0" applyFont="1" applyFill="1" applyBorder="1" applyAlignment="1">
      <alignment horizontal="right"/>
    </xf>
    <xf numFmtId="0" fontId="36" fillId="18" borderId="0" xfId="11"/>
    <xf numFmtId="9" fontId="0" fillId="4" borderId="9" xfId="0" applyNumberFormat="1" applyFill="1" applyBorder="1"/>
    <xf numFmtId="9" fontId="7" fillId="4" borderId="9" xfId="0" applyNumberFormat="1" applyFont="1" applyFill="1" applyBorder="1"/>
    <xf numFmtId="165" fontId="0" fillId="3" borderId="2" xfId="9" applyNumberFormat="1" applyFont="1" applyFill="1" applyBorder="1"/>
    <xf numFmtId="165" fontId="7" fillId="3" borderId="2" xfId="9" applyNumberFormat="1" applyFont="1" applyFill="1" applyBorder="1"/>
    <xf numFmtId="0" fontId="22" fillId="12" borderId="23" xfId="7" applyFont="1" applyFill="1" applyBorder="1" applyAlignment="1">
      <alignment horizontal="left"/>
    </xf>
    <xf numFmtId="0" fontId="22" fillId="12" borderId="25" xfId="7" applyFont="1" applyFill="1" applyBorder="1" applyAlignment="1">
      <alignment horizontal="left"/>
    </xf>
    <xf numFmtId="0" fontId="22" fillId="12" borderId="7" xfId="7" applyFont="1" applyFill="1" applyBorder="1" applyAlignment="1">
      <alignment horizontal="left"/>
    </xf>
    <xf numFmtId="0" fontId="14" fillId="12" borderId="3" xfId="0" applyFont="1" applyFill="1" applyBorder="1"/>
    <xf numFmtId="0" fontId="14" fillId="12" borderId="4" xfId="0" applyFont="1" applyFill="1" applyBorder="1"/>
    <xf numFmtId="0" fontId="14" fillId="12" borderId="14" xfId="0" applyFont="1" applyFill="1" applyBorder="1"/>
    <xf numFmtId="0" fontId="14" fillId="12" borderId="15" xfId="0" applyFont="1" applyFill="1" applyBorder="1"/>
    <xf numFmtId="0" fontId="14" fillId="12" borderId="16" xfId="0" applyFont="1" applyFill="1" applyBorder="1"/>
    <xf numFmtId="0" fontId="22" fillId="12" borderId="15" xfId="0" applyFont="1" applyFill="1" applyBorder="1"/>
    <xf numFmtId="1" fontId="22" fillId="16" borderId="15" xfId="0" applyNumberFormat="1" applyFont="1" applyFill="1" applyBorder="1" applyAlignment="1">
      <alignment horizontal="center"/>
    </xf>
    <xf numFmtId="1" fontId="22" fillId="16" borderId="16" xfId="0" applyNumberFormat="1" applyFont="1" applyFill="1" applyBorder="1"/>
    <xf numFmtId="1" fontId="22" fillId="16" borderId="16" xfId="0" applyNumberFormat="1" applyFont="1" applyFill="1" applyBorder="1" applyAlignment="1">
      <alignment horizontal="center"/>
    </xf>
    <xf numFmtId="0" fontId="12" fillId="14" borderId="0" xfId="2" applyFont="1" applyFill="1" applyBorder="1" applyAlignment="1">
      <alignment horizontal="left"/>
    </xf>
    <xf numFmtId="0" fontId="0" fillId="12" borderId="48" xfId="0" applyFill="1" applyBorder="1" applyAlignment="1">
      <alignment horizontal="center"/>
    </xf>
    <xf numFmtId="0" fontId="0" fillId="12" borderId="54" xfId="0" applyFill="1" applyBorder="1" applyAlignment="1">
      <alignment horizontal="center"/>
    </xf>
    <xf numFmtId="0" fontId="0" fillId="12" borderId="49" xfId="0" applyFill="1" applyBorder="1" applyAlignment="1">
      <alignment horizontal="center"/>
    </xf>
    <xf numFmtId="0" fontId="39" fillId="14" borderId="0" xfId="0" applyFont="1" applyFill="1"/>
    <xf numFmtId="0" fontId="39" fillId="12" borderId="34" xfId="0" applyFont="1" applyFill="1" applyBorder="1"/>
    <xf numFmtId="0" fontId="40" fillId="12" borderId="0" xfId="0" applyFont="1" applyFill="1" applyAlignment="1">
      <alignment horizontal="right"/>
    </xf>
    <xf numFmtId="164" fontId="40" fillId="12" borderId="2" xfId="4" applyNumberFormat="1" applyFont="1" applyFill="1" applyBorder="1"/>
    <xf numFmtId="9" fontId="39" fillId="12" borderId="35" xfId="0" applyNumberFormat="1" applyFont="1" applyFill="1" applyBorder="1"/>
    <xf numFmtId="9" fontId="39" fillId="14" borderId="0" xfId="0" applyNumberFormat="1" applyFont="1" applyFill="1"/>
    <xf numFmtId="0" fontId="39" fillId="12" borderId="35" xfId="0" applyFont="1" applyFill="1" applyBorder="1"/>
    <xf numFmtId="165" fontId="40" fillId="12" borderId="2" xfId="0" applyNumberFormat="1" applyFont="1" applyFill="1" applyBorder="1"/>
    <xf numFmtId="0" fontId="14" fillId="12" borderId="37" xfId="0" applyFont="1" applyFill="1" applyBorder="1" applyAlignment="1">
      <alignment horizontal="right" vertical="center"/>
    </xf>
    <xf numFmtId="0" fontId="28" fillId="14" borderId="37" xfId="8" applyFont="1" applyFill="1" applyBorder="1"/>
    <xf numFmtId="0" fontId="26" fillId="14" borderId="37" xfId="0" applyFont="1" applyFill="1" applyBorder="1"/>
    <xf numFmtId="0" fontId="0" fillId="14" borderId="37" xfId="0" applyFill="1" applyBorder="1"/>
    <xf numFmtId="0" fontId="22" fillId="14" borderId="37" xfId="0" applyFont="1" applyFill="1" applyBorder="1" applyAlignment="1">
      <alignment vertical="center"/>
    </xf>
    <xf numFmtId="0" fontId="11" fillId="14" borderId="37" xfId="8" applyFont="1" applyFill="1" applyBorder="1" applyAlignment="1"/>
    <xf numFmtId="165" fontId="0" fillId="5" borderId="10" xfId="9" applyNumberFormat="1" applyFont="1" applyFill="1" applyBorder="1" applyAlignment="1"/>
    <xf numFmtId="165" fontId="0" fillId="5" borderId="2" xfId="9" applyNumberFormat="1" applyFont="1" applyFill="1" applyBorder="1"/>
    <xf numFmtId="165" fontId="0" fillId="12" borderId="0" xfId="9" applyNumberFormat="1" applyFont="1" applyFill="1" applyBorder="1"/>
    <xf numFmtId="0" fontId="42" fillId="12" borderId="42" xfId="0" applyFont="1" applyFill="1" applyBorder="1" applyAlignment="1">
      <alignment horizontal="left" indent="1"/>
    </xf>
    <xf numFmtId="0" fontId="42" fillId="12" borderId="0" xfId="0" applyFont="1" applyFill="1"/>
    <xf numFmtId="0" fontId="42" fillId="12" borderId="46" xfId="0" applyFont="1" applyFill="1" applyBorder="1"/>
    <xf numFmtId="0" fontId="42" fillId="12" borderId="48" xfId="0" applyFont="1" applyFill="1" applyBorder="1"/>
    <xf numFmtId="0" fontId="42" fillId="12" borderId="54" xfId="0" applyFont="1" applyFill="1" applyBorder="1"/>
    <xf numFmtId="0" fontId="42" fillId="12" borderId="49" xfId="0" applyFont="1" applyFill="1" applyBorder="1"/>
    <xf numFmtId="0" fontId="22" fillId="16" borderId="17" xfId="0" applyFont="1" applyFill="1" applyBorder="1" applyProtection="1">
      <protection locked="0"/>
    </xf>
    <xf numFmtId="0" fontId="22" fillId="16" borderId="22" xfId="0" applyFont="1" applyFill="1" applyBorder="1" applyProtection="1">
      <protection locked="0"/>
    </xf>
    <xf numFmtId="0" fontId="22" fillId="16" borderId="21" xfId="0" applyFont="1" applyFill="1" applyBorder="1" applyProtection="1">
      <protection locked="0"/>
    </xf>
    <xf numFmtId="44" fontId="22" fillId="16" borderId="17" xfId="0" applyNumberFormat="1" applyFont="1" applyFill="1" applyBorder="1" applyProtection="1">
      <protection locked="0"/>
    </xf>
    <xf numFmtId="44" fontId="22" fillId="16" borderId="18" xfId="0" applyNumberFormat="1" applyFont="1" applyFill="1" applyBorder="1" applyProtection="1">
      <protection locked="0"/>
    </xf>
    <xf numFmtId="44" fontId="22" fillId="16" borderId="22" xfId="0" applyNumberFormat="1" applyFont="1" applyFill="1" applyBorder="1" applyProtection="1">
      <protection locked="0"/>
    </xf>
    <xf numFmtId="164" fontId="22" fillId="16" borderId="64" xfId="4" applyNumberFormat="1" applyFont="1" applyFill="1" applyBorder="1" applyProtection="1">
      <protection locked="0"/>
    </xf>
    <xf numFmtId="1" fontId="22" fillId="16" borderId="14" xfId="0" applyNumberFormat="1" applyFont="1" applyFill="1" applyBorder="1" applyProtection="1">
      <protection locked="0"/>
    </xf>
    <xf numFmtId="1" fontId="22" fillId="16" borderId="15" xfId="0" applyNumberFormat="1" applyFont="1" applyFill="1" applyBorder="1" applyProtection="1">
      <protection locked="0"/>
    </xf>
    <xf numFmtId="0" fontId="22" fillId="16" borderId="13" xfId="0" applyFont="1" applyFill="1" applyBorder="1" applyProtection="1">
      <protection locked="0"/>
    </xf>
    <xf numFmtId="0" fontId="14" fillId="16" borderId="68" xfId="0" applyFont="1" applyFill="1" applyBorder="1"/>
    <xf numFmtId="165" fontId="0" fillId="0" borderId="0" xfId="0" applyNumberFormat="1"/>
    <xf numFmtId="164" fontId="0" fillId="7" borderId="0" xfId="4" applyNumberFormat="1" applyFont="1" applyFill="1" applyBorder="1" applyAlignment="1">
      <alignment horizontal="center" vertical="center"/>
    </xf>
    <xf numFmtId="0" fontId="22" fillId="12" borderId="3" xfId="0" applyFont="1" applyFill="1" applyBorder="1" applyAlignment="1">
      <alignment vertical="center"/>
    </xf>
    <xf numFmtId="0" fontId="22" fillId="12" borderId="0" xfId="0" applyFont="1" applyFill="1" applyAlignment="1">
      <alignment vertical="center"/>
    </xf>
    <xf numFmtId="0" fontId="22" fillId="12" borderId="46" xfId="0" applyFont="1" applyFill="1" applyBorder="1" applyAlignment="1">
      <alignment vertical="center"/>
    </xf>
    <xf numFmtId="43" fontId="44" fillId="12" borderId="45" xfId="0" applyNumberFormat="1" applyFont="1" applyFill="1" applyBorder="1"/>
    <xf numFmtId="167" fontId="26" fillId="19" borderId="87" xfId="0" applyNumberFormat="1" applyFont="1" applyFill="1" applyBorder="1" applyAlignment="1">
      <alignment horizontal="left"/>
    </xf>
    <xf numFmtId="167" fontId="26" fillId="10" borderId="87" xfId="0" applyNumberFormat="1" applyFont="1" applyFill="1" applyBorder="1" applyAlignment="1">
      <alignment horizontal="left"/>
    </xf>
    <xf numFmtId="167" fontId="26" fillId="9" borderId="87" xfId="0" applyNumberFormat="1" applyFont="1" applyFill="1" applyBorder="1" applyAlignment="1">
      <alignment horizontal="left"/>
    </xf>
    <xf numFmtId="0" fontId="33" fillId="12" borderId="42" xfId="8" applyFont="1" applyFill="1" applyBorder="1" applyAlignment="1">
      <alignment horizontal="left" indent="1"/>
    </xf>
    <xf numFmtId="0" fontId="33" fillId="12" borderId="0" xfId="8" applyFont="1" applyFill="1" applyBorder="1" applyAlignment="1">
      <alignment horizontal="left" indent="1"/>
    </xf>
    <xf numFmtId="0" fontId="33" fillId="12" borderId="46" xfId="8" applyFont="1" applyFill="1" applyBorder="1" applyAlignment="1">
      <alignment horizontal="left" indent="1"/>
    </xf>
    <xf numFmtId="0" fontId="41" fillId="12" borderId="42" xfId="8" applyFont="1" applyFill="1" applyBorder="1" applyAlignment="1">
      <alignment horizontal="left" indent="1"/>
    </xf>
    <xf numFmtId="0" fontId="41" fillId="12" borderId="0" xfId="8" applyFont="1" applyFill="1" applyBorder="1" applyAlignment="1">
      <alignment horizontal="left" indent="1"/>
    </xf>
    <xf numFmtId="0" fontId="41" fillId="12" borderId="46" xfId="8" applyFont="1" applyFill="1" applyBorder="1" applyAlignment="1">
      <alignment horizontal="left" indent="1"/>
    </xf>
    <xf numFmtId="0" fontId="0" fillId="14" borderId="0" xfId="0" applyFill="1" applyAlignment="1">
      <alignment horizontal="left"/>
    </xf>
    <xf numFmtId="0" fontId="0" fillId="4" borderId="2" xfId="0" applyFill="1" applyBorder="1" applyAlignment="1">
      <alignment horizontal="center"/>
    </xf>
    <xf numFmtId="0" fontId="1" fillId="2" borderId="1" xfId="1" applyAlignment="1">
      <alignment horizontal="center"/>
    </xf>
    <xf numFmtId="0" fontId="12" fillId="12" borderId="31" xfId="2" applyFont="1" applyFill="1" applyBorder="1" applyAlignment="1">
      <alignment horizontal="center"/>
    </xf>
    <xf numFmtId="0" fontId="12" fillId="12" borderId="32" xfId="2" applyFont="1" applyFill="1" applyBorder="1" applyAlignment="1">
      <alignment horizontal="center"/>
    </xf>
    <xf numFmtId="0" fontId="12" fillId="12" borderId="32" xfId="2" applyFont="1" applyFill="1" applyBorder="1" applyAlignment="1">
      <alignment horizontal="left"/>
    </xf>
    <xf numFmtId="0" fontId="12" fillId="12" borderId="33" xfId="2" applyFont="1" applyFill="1" applyBorder="1" applyAlignment="1">
      <alignment horizontal="left"/>
    </xf>
    <xf numFmtId="0" fontId="12" fillId="12" borderId="33" xfId="2" applyFont="1" applyFill="1" applyBorder="1" applyAlignment="1">
      <alignment horizontal="center"/>
    </xf>
    <xf numFmtId="0" fontId="0" fillId="15" borderId="2" xfId="0" applyFill="1" applyBorder="1" applyAlignment="1">
      <alignment horizontal="center"/>
    </xf>
    <xf numFmtId="165" fontId="0" fillId="5" borderId="2" xfId="0" applyNumberFormat="1" applyFill="1" applyBorder="1" applyAlignment="1">
      <alignment horizontal="center"/>
    </xf>
    <xf numFmtId="0" fontId="37" fillId="14" borderId="34" xfId="0" quotePrefix="1" applyFont="1" applyFill="1" applyBorder="1" applyAlignment="1">
      <alignment horizontal="center" vertical="top" wrapText="1"/>
    </xf>
    <xf numFmtId="0" fontId="37" fillId="14" borderId="0" xfId="0" quotePrefix="1" applyFont="1" applyFill="1" applyAlignment="1">
      <alignment horizontal="center" vertical="top" wrapText="1"/>
    </xf>
    <xf numFmtId="0" fontId="37" fillId="14" borderId="35" xfId="0" quotePrefix="1" applyFont="1" applyFill="1" applyBorder="1" applyAlignment="1">
      <alignment horizontal="center" vertical="top" wrapText="1"/>
    </xf>
    <xf numFmtId="0" fontId="0" fillId="16" borderId="12" xfId="0" applyFill="1" applyBorder="1" applyAlignment="1">
      <alignment horizontal="center"/>
    </xf>
    <xf numFmtId="0" fontId="0" fillId="16" borderId="68" xfId="0" applyFill="1" applyBorder="1" applyAlignment="1">
      <alignment horizontal="center"/>
    </xf>
    <xf numFmtId="0" fontId="0" fillId="16" borderId="3" xfId="0" applyFill="1" applyBorder="1" applyAlignment="1">
      <alignment horizontal="center"/>
    </xf>
    <xf numFmtId="0" fontId="0" fillId="16" borderId="4" xfId="0" applyFill="1" applyBorder="1" applyAlignment="1">
      <alignment horizontal="center"/>
    </xf>
    <xf numFmtId="0" fontId="0" fillId="16" borderId="14" xfId="0" applyFill="1" applyBorder="1" applyAlignment="1">
      <alignment horizontal="center"/>
    </xf>
    <xf numFmtId="0" fontId="0" fillId="16" borderId="16" xfId="0" applyFill="1" applyBorder="1" applyAlignment="1">
      <alignment horizontal="center"/>
    </xf>
    <xf numFmtId="0" fontId="7" fillId="4" borderId="2" xfId="0" applyFont="1" applyFill="1" applyBorder="1" applyAlignment="1">
      <alignment horizontal="center"/>
    </xf>
    <xf numFmtId="0" fontId="7" fillId="15" borderId="2" xfId="0" applyFont="1" applyFill="1" applyBorder="1" applyAlignment="1">
      <alignment horizontal="center"/>
    </xf>
    <xf numFmtId="165" fontId="7" fillId="5" borderId="2" xfId="0" applyNumberFormat="1" applyFont="1" applyFill="1" applyBorder="1" applyAlignment="1">
      <alignment horizontal="center"/>
    </xf>
    <xf numFmtId="0" fontId="30" fillId="14" borderId="30" xfId="2" applyFont="1" applyFill="1" applyBorder="1" applyAlignment="1">
      <alignment horizontal="left"/>
    </xf>
    <xf numFmtId="0" fontId="24" fillId="10" borderId="45" xfId="8" quotePrefix="1" applyFont="1" applyFill="1" applyBorder="1" applyAlignment="1">
      <alignment horizontal="center"/>
    </xf>
    <xf numFmtId="0" fontId="23" fillId="13" borderId="20" xfId="8" applyFont="1" applyFill="1" applyBorder="1" applyAlignment="1">
      <alignment horizontal="center"/>
    </xf>
    <xf numFmtId="0" fontId="23" fillId="13" borderId="21" xfId="8" applyFont="1" applyFill="1" applyBorder="1" applyAlignment="1">
      <alignment horizontal="center"/>
    </xf>
    <xf numFmtId="0" fontId="24" fillId="9" borderId="44" xfId="8" applyFont="1" applyFill="1" applyBorder="1" applyAlignment="1">
      <alignment horizontal="left"/>
    </xf>
    <xf numFmtId="0" fontId="24" fillId="9" borderId="45" xfId="8" applyFont="1" applyFill="1" applyBorder="1" applyAlignment="1">
      <alignment horizontal="left"/>
    </xf>
    <xf numFmtId="0" fontId="23" fillId="9" borderId="19" xfId="8" applyFont="1" applyFill="1" applyBorder="1" applyAlignment="1">
      <alignment horizontal="center"/>
    </xf>
    <xf numFmtId="0" fontId="23" fillId="9" borderId="20" xfId="8" applyFont="1" applyFill="1" applyBorder="1" applyAlignment="1">
      <alignment horizontal="center"/>
    </xf>
    <xf numFmtId="0" fontId="23" fillId="10" borderId="20" xfId="8" applyFont="1" applyFill="1" applyBorder="1" applyAlignment="1">
      <alignment horizontal="center"/>
    </xf>
    <xf numFmtId="0" fontId="28" fillId="14" borderId="0" xfId="8" applyFont="1" applyFill="1" applyAlignment="1">
      <alignment horizontal="left"/>
    </xf>
    <xf numFmtId="0" fontId="22" fillId="12" borderId="0" xfId="0" applyFont="1" applyFill="1" applyAlignment="1">
      <alignment horizontal="left" vertical="center" wrapText="1"/>
    </xf>
    <xf numFmtId="0" fontId="22" fillId="12" borderId="14" xfId="0" applyFont="1" applyFill="1" applyBorder="1" applyAlignment="1">
      <alignment vertical="center"/>
    </xf>
    <xf numFmtId="0" fontId="22" fillId="12" borderId="15" xfId="0" applyFont="1" applyFill="1" applyBorder="1" applyAlignment="1">
      <alignment vertical="center"/>
    </xf>
    <xf numFmtId="0" fontId="22" fillId="12" borderId="51" xfId="0" applyFont="1" applyFill="1" applyBorder="1" applyAlignment="1">
      <alignment vertical="center"/>
    </xf>
    <xf numFmtId="0" fontId="27" fillId="14" borderId="0" xfId="8" applyFont="1" applyFill="1" applyAlignment="1">
      <alignment horizontal="left"/>
    </xf>
    <xf numFmtId="0" fontId="39" fillId="12" borderId="12" xfId="0" applyFont="1" applyFill="1" applyBorder="1" applyAlignment="1">
      <alignment vertical="top"/>
    </xf>
    <xf numFmtId="0" fontId="39" fillId="12" borderId="13" xfId="0" applyFont="1" applyFill="1" applyBorder="1" applyAlignment="1">
      <alignment vertical="top"/>
    </xf>
    <xf numFmtId="0" fontId="39" fillId="12" borderId="47" xfId="0" applyFont="1" applyFill="1" applyBorder="1" applyAlignment="1">
      <alignment vertical="top"/>
    </xf>
    <xf numFmtId="0" fontId="29" fillId="14" borderId="0" xfId="0" applyFont="1" applyFill="1" applyAlignment="1">
      <alignment horizontal="left"/>
    </xf>
    <xf numFmtId="0" fontId="39" fillId="12" borderId="59" xfId="0" applyFont="1" applyFill="1" applyBorder="1" applyAlignment="1">
      <alignment horizontal="center" vertical="center"/>
    </xf>
    <xf numFmtId="0" fontId="39" fillId="12" borderId="62" xfId="0" applyFont="1" applyFill="1" applyBorder="1" applyAlignment="1">
      <alignment horizontal="center" vertical="center"/>
    </xf>
    <xf numFmtId="0" fontId="39" fillId="12" borderId="36" xfId="0" applyFont="1" applyFill="1" applyBorder="1" applyAlignment="1">
      <alignment horizontal="center" vertical="center"/>
    </xf>
    <xf numFmtId="0" fontId="39" fillId="12" borderId="63" xfId="0" applyFont="1" applyFill="1" applyBorder="1" applyAlignment="1">
      <alignment horizontal="center" vertical="center"/>
    </xf>
    <xf numFmtId="165" fontId="22" fillId="16" borderId="83" xfId="9" applyNumberFormat="1" applyFont="1" applyFill="1" applyBorder="1" applyAlignment="1" applyProtection="1">
      <alignment horizontal="center"/>
      <protection locked="0"/>
    </xf>
    <xf numFmtId="165" fontId="22" fillId="16" borderId="84" xfId="9" applyNumberFormat="1" applyFont="1" applyFill="1" applyBorder="1" applyAlignment="1" applyProtection="1">
      <alignment horizontal="center"/>
      <protection locked="0"/>
    </xf>
    <xf numFmtId="0" fontId="17" fillId="14" borderId="0" xfId="8" applyFont="1" applyFill="1" applyAlignment="1">
      <alignment horizontal="right"/>
    </xf>
    <xf numFmtId="166" fontId="14" fillId="12" borderId="82" xfId="0" applyNumberFormat="1" applyFont="1" applyFill="1" applyBorder="1" applyAlignment="1">
      <alignment horizontal="center" vertical="center"/>
    </xf>
    <xf numFmtId="166" fontId="14" fillId="12" borderId="22" xfId="0" applyNumberFormat="1" applyFont="1" applyFill="1" applyBorder="1" applyAlignment="1">
      <alignment horizontal="center" vertical="center"/>
    </xf>
    <xf numFmtId="165" fontId="22" fillId="16" borderId="85" xfId="9" applyNumberFormat="1" applyFont="1" applyFill="1" applyBorder="1" applyAlignment="1" applyProtection="1">
      <alignment horizontal="center"/>
      <protection locked="0"/>
    </xf>
    <xf numFmtId="165" fontId="22" fillId="16" borderId="86" xfId="9" applyNumberFormat="1" applyFont="1" applyFill="1" applyBorder="1" applyAlignment="1" applyProtection="1">
      <alignment horizontal="center"/>
      <protection locked="0"/>
    </xf>
    <xf numFmtId="0" fontId="17" fillId="14" borderId="37" xfId="8" applyFont="1" applyFill="1" applyBorder="1" applyAlignment="1">
      <alignment horizontal="left"/>
    </xf>
    <xf numFmtId="0" fontId="25" fillId="12" borderId="65" xfId="2" applyFont="1" applyFill="1" applyBorder="1" applyAlignment="1">
      <alignment horizontal="center"/>
    </xf>
    <xf numFmtId="0" fontId="25" fillId="12" borderId="66" xfId="2" applyFont="1" applyFill="1" applyBorder="1" applyAlignment="1">
      <alignment horizontal="center"/>
    </xf>
    <xf numFmtId="0" fontId="25" fillId="12" borderId="67" xfId="2" applyFont="1" applyFill="1" applyBorder="1" applyAlignment="1">
      <alignment horizontal="center"/>
    </xf>
    <xf numFmtId="0" fontId="39" fillId="12" borderId="19" xfId="0" applyFont="1" applyFill="1" applyBorder="1" applyAlignment="1">
      <alignment horizontal="left"/>
    </xf>
    <xf numFmtId="0" fontId="39" fillId="12" borderId="20" xfId="0" applyFont="1" applyFill="1" applyBorder="1" applyAlignment="1">
      <alignment horizontal="left"/>
    </xf>
    <xf numFmtId="0" fontId="39" fillId="12" borderId="14" xfId="0" applyFont="1" applyFill="1" applyBorder="1" applyAlignment="1">
      <alignment vertical="top"/>
    </xf>
    <xf numFmtId="0" fontId="39" fillId="12" borderId="15" xfId="0" applyFont="1" applyFill="1" applyBorder="1" applyAlignment="1">
      <alignment vertical="top"/>
    </xf>
    <xf numFmtId="0" fontId="39" fillId="12" borderId="51" xfId="0" applyFont="1" applyFill="1" applyBorder="1" applyAlignment="1">
      <alignment vertical="top"/>
    </xf>
    <xf numFmtId="0" fontId="22" fillId="12" borderId="12" xfId="0" applyFont="1" applyFill="1" applyBorder="1" applyAlignment="1">
      <alignment vertical="center"/>
    </xf>
    <xf numFmtId="0" fontId="22" fillId="12" borderId="13" xfId="0" applyFont="1" applyFill="1" applyBorder="1" applyAlignment="1">
      <alignment vertical="center"/>
    </xf>
    <xf numFmtId="0" fontId="22" fillId="12" borderId="47" xfId="0" applyFont="1" applyFill="1" applyBorder="1" applyAlignment="1">
      <alignment vertical="center"/>
    </xf>
    <xf numFmtId="0" fontId="22" fillId="12" borderId="23" xfId="0" applyFont="1" applyFill="1" applyBorder="1" applyAlignment="1">
      <alignment horizontal="center"/>
    </xf>
    <xf numFmtId="0" fontId="22" fillId="12" borderId="70" xfId="0" applyFont="1" applyFill="1" applyBorder="1" applyAlignment="1">
      <alignment horizontal="center"/>
    </xf>
    <xf numFmtId="0" fontId="22" fillId="12" borderId="24" xfId="0" applyFont="1" applyFill="1" applyBorder="1" applyAlignment="1">
      <alignment horizontal="center"/>
    </xf>
    <xf numFmtId="165" fontId="22" fillId="16" borderId="81" xfId="9" applyNumberFormat="1" applyFont="1" applyFill="1" applyBorder="1" applyAlignment="1" applyProtection="1">
      <alignment horizontal="center"/>
      <protection locked="0"/>
    </xf>
    <xf numFmtId="165" fontId="22" fillId="16" borderId="17" xfId="9" applyNumberFormat="1" applyFont="1" applyFill="1" applyBorder="1" applyAlignment="1" applyProtection="1">
      <alignment horizontal="center"/>
      <protection locked="0"/>
    </xf>
    <xf numFmtId="0" fontId="15" fillId="12" borderId="20" xfId="0" applyFont="1" applyFill="1" applyBorder="1" applyAlignment="1">
      <alignment horizontal="center"/>
    </xf>
    <xf numFmtId="0" fontId="14" fillId="12" borderId="76" xfId="0" applyFont="1" applyFill="1" applyBorder="1" applyAlignment="1">
      <alignment horizontal="center"/>
    </xf>
    <xf numFmtId="0" fontId="14" fillId="12" borderId="74" xfId="0" applyFont="1" applyFill="1" applyBorder="1" applyAlignment="1">
      <alignment horizontal="center"/>
    </xf>
    <xf numFmtId="9" fontId="22" fillId="16" borderId="80" xfId="5" applyFont="1" applyFill="1" applyBorder="1" applyAlignment="1" applyProtection="1">
      <alignment horizontal="center"/>
      <protection locked="0"/>
    </xf>
    <xf numFmtId="9" fontId="22" fillId="16" borderId="75" xfId="5" applyFont="1" applyFill="1" applyBorder="1" applyAlignment="1" applyProtection="1">
      <alignment horizontal="center"/>
      <protection locked="0"/>
    </xf>
    <xf numFmtId="0" fontId="39" fillId="12" borderId="12" xfId="0" applyFont="1" applyFill="1" applyBorder="1" applyAlignment="1">
      <alignment horizontal="center" vertical="center" wrapText="1"/>
    </xf>
    <xf numFmtId="0" fontId="39" fillId="12" borderId="13" xfId="0" applyFont="1" applyFill="1" applyBorder="1" applyAlignment="1">
      <alignment horizontal="center" vertical="center" wrapText="1"/>
    </xf>
    <xf numFmtId="0" fontId="39" fillId="12" borderId="47" xfId="0" applyFont="1" applyFill="1" applyBorder="1" applyAlignment="1">
      <alignment horizontal="center" vertical="center" wrapText="1"/>
    </xf>
    <xf numFmtId="0" fontId="39" fillId="12" borderId="14" xfId="0" applyFont="1" applyFill="1" applyBorder="1" applyAlignment="1">
      <alignment horizontal="center" vertical="center" wrapText="1"/>
    </xf>
    <xf numFmtId="0" fontId="39" fillId="12" borderId="15" xfId="0" applyFont="1" applyFill="1" applyBorder="1" applyAlignment="1">
      <alignment horizontal="center" vertical="center" wrapText="1"/>
    </xf>
    <xf numFmtId="0" fontId="39" fillId="12" borderId="51" xfId="0" applyFont="1" applyFill="1" applyBorder="1" applyAlignment="1">
      <alignment horizontal="center" vertical="center" wrapText="1"/>
    </xf>
    <xf numFmtId="0" fontId="0" fillId="12" borderId="77" xfId="0" applyFill="1" applyBorder="1" applyAlignment="1">
      <alignment horizontal="center"/>
    </xf>
    <xf numFmtId="0" fontId="0" fillId="12" borderId="78" xfId="0" applyFill="1" applyBorder="1" applyAlignment="1">
      <alignment horizontal="center"/>
    </xf>
    <xf numFmtId="0" fontId="39" fillId="12" borderId="69" xfId="0" applyFont="1" applyFill="1" applyBorder="1" applyAlignment="1">
      <alignment horizontal="left"/>
    </xf>
    <xf numFmtId="0" fontId="20" fillId="12" borderId="71" xfId="3" applyFont="1" applyFill="1" applyBorder="1" applyAlignment="1">
      <alignment horizontal="center"/>
    </xf>
    <xf numFmtId="0" fontId="20" fillId="12" borderId="72" xfId="3" applyFont="1" applyFill="1" applyBorder="1" applyAlignment="1">
      <alignment horizontal="center"/>
    </xf>
    <xf numFmtId="0" fontId="20" fillId="12" borderId="73" xfId="3" applyFont="1" applyFill="1" applyBorder="1" applyAlignment="1">
      <alignment horizontal="center"/>
    </xf>
    <xf numFmtId="0" fontId="22" fillId="12" borderId="12" xfId="7" applyFont="1" applyFill="1" applyBorder="1" applyAlignment="1">
      <alignment horizontal="left" vertical="center"/>
    </xf>
    <xf numFmtId="0" fontId="22" fillId="12" borderId="13" xfId="7" applyFont="1" applyFill="1" applyBorder="1" applyAlignment="1">
      <alignment horizontal="left" vertical="center"/>
    </xf>
    <xf numFmtId="0" fontId="22" fillId="12" borderId="14" xfId="7" applyFont="1" applyFill="1" applyBorder="1" applyAlignment="1">
      <alignment horizontal="left" vertical="center"/>
    </xf>
    <xf numFmtId="0" fontId="22" fillId="12" borderId="15" xfId="7" applyFont="1" applyFill="1" applyBorder="1" applyAlignment="1">
      <alignment horizontal="left" vertical="center"/>
    </xf>
    <xf numFmtId="0" fontId="14" fillId="12" borderId="79" xfId="0" applyFont="1" applyFill="1" applyBorder="1" applyAlignment="1">
      <alignment horizontal="center"/>
    </xf>
    <xf numFmtId="0" fontId="24" fillId="11" borderId="20" xfId="8" applyFont="1" applyFill="1" applyBorder="1" applyAlignment="1">
      <alignment horizontal="right"/>
    </xf>
    <xf numFmtId="0" fontId="24" fillId="11" borderId="21" xfId="8" applyFont="1" applyFill="1" applyBorder="1" applyAlignment="1">
      <alignment horizontal="right"/>
    </xf>
    <xf numFmtId="0" fontId="21" fillId="12" borderId="0" xfId="7" applyFont="1" applyFill="1" applyBorder="1" applyAlignment="1">
      <alignment horizontal="left" indent="4"/>
    </xf>
    <xf numFmtId="0" fontId="0" fillId="14" borderId="0" xfId="0" applyFill="1" applyAlignment="1">
      <alignment horizontal="center"/>
    </xf>
    <xf numFmtId="0" fontId="45" fillId="9" borderId="44" xfId="0" applyFont="1" applyFill="1" applyBorder="1" applyAlignment="1">
      <alignment horizontal="center" vertical="center" wrapText="1"/>
    </xf>
    <xf numFmtId="0" fontId="45" fillId="9" borderId="88" xfId="0" applyFont="1" applyFill="1" applyBorder="1" applyAlignment="1">
      <alignment horizontal="center" vertical="center" wrapText="1"/>
    </xf>
    <xf numFmtId="0" fontId="45" fillId="10" borderId="44" xfId="0" applyFont="1" applyFill="1" applyBorder="1" applyAlignment="1">
      <alignment horizontal="center" vertical="center" wrapText="1"/>
    </xf>
    <xf numFmtId="0" fontId="45" fillId="10" borderId="88" xfId="0" applyFont="1" applyFill="1" applyBorder="1" applyAlignment="1">
      <alignment horizontal="center" vertical="center" wrapText="1"/>
    </xf>
    <xf numFmtId="0" fontId="45" fillId="13" borderId="44" xfId="0" applyFont="1" applyFill="1" applyBorder="1" applyAlignment="1">
      <alignment horizontal="center" vertical="center" wrapText="1"/>
    </xf>
    <xf numFmtId="0" fontId="45" fillId="13" borderId="88" xfId="0" applyFont="1" applyFill="1" applyBorder="1" applyAlignment="1">
      <alignment horizontal="center" vertical="center" wrapText="1"/>
    </xf>
    <xf numFmtId="0" fontId="9" fillId="14" borderId="0" xfId="3" applyFont="1" applyFill="1" applyBorder="1" applyAlignment="1">
      <alignment horizontal="center"/>
    </xf>
    <xf numFmtId="0" fontId="12" fillId="12" borderId="65" xfId="2" applyFont="1" applyFill="1" applyBorder="1" applyAlignment="1">
      <alignment horizontal="center"/>
    </xf>
    <xf numFmtId="0" fontId="12" fillId="12" borderId="66" xfId="2" applyFont="1" applyFill="1" applyBorder="1" applyAlignment="1">
      <alignment horizontal="center"/>
    </xf>
    <xf numFmtId="0" fontId="12" fillId="12" borderId="67" xfId="2" applyFont="1" applyFill="1" applyBorder="1" applyAlignment="1">
      <alignment horizontal="center"/>
    </xf>
    <xf numFmtId="0" fontId="13" fillId="14" borderId="30" xfId="2" applyFont="1" applyFill="1" applyBorder="1" applyAlignment="1">
      <alignment horizontal="left"/>
    </xf>
    <xf numFmtId="0" fontId="0" fillId="0" borderId="12" xfId="0" applyBorder="1" applyAlignment="1">
      <alignment horizontal="center"/>
    </xf>
    <xf numFmtId="0" fontId="0" fillId="0" borderId="13" xfId="0" applyBorder="1" applyAlignment="1">
      <alignment horizontal="center"/>
    </xf>
    <xf numFmtId="0" fontId="0" fillId="0" borderId="0" xfId="0" applyAlignment="1">
      <alignment horizontal="center" vertical="center" wrapText="1"/>
    </xf>
    <xf numFmtId="0" fontId="0" fillId="16" borderId="0" xfId="0" applyFill="1" applyAlignment="1">
      <alignment horizontal="center" vertical="center"/>
    </xf>
    <xf numFmtId="0" fontId="0" fillId="0" borderId="0" xfId="0" applyAlignment="1">
      <alignment horizontal="center"/>
    </xf>
  </cellXfs>
  <cellStyles count="12">
    <cellStyle name="Bad" xfId="10" builtinId="27"/>
    <cellStyle name="Check Cell" xfId="1" builtinId="23"/>
    <cellStyle name="Comma" xfId="4" builtinId="3"/>
    <cellStyle name="Currency" xfId="9" builtinId="4"/>
    <cellStyle name="Good" xfId="11" builtinId="26"/>
    <cellStyle name="Heading 1" xfId="2" builtinId="16"/>
    <cellStyle name="Heading 2" xfId="6" builtinId="17"/>
    <cellStyle name="Heading 3" xfId="3" builtinId="18"/>
    <cellStyle name="Heading 4" xfId="7" builtinId="19"/>
    <cellStyle name="Hyperlink" xfId="8" builtinId="8"/>
    <cellStyle name="Normal" xfId="0" builtinId="0"/>
    <cellStyle name="Percent" xfId="5" builtinId="5"/>
  </cellStyles>
  <dxfs count="0"/>
  <tableStyles count="0" defaultTableStyle="TableStyleMedium2" defaultPivotStyle="PivotStyleLight16"/>
  <colors>
    <mruColors>
      <color rgb="FFA0CB83"/>
      <color rgb="FF9AC77B"/>
      <color rgb="FFFCC8C9"/>
      <color rgb="FFFF7575"/>
      <color rgb="FFFFB3B3"/>
      <color rgb="FF73B04A"/>
      <color rgb="FFEEC5FF"/>
      <color rgb="FFE8A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2.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3" Type="http://schemas.openxmlformats.org/officeDocument/2006/relationships/image" Target="../media/image7.png"/><Relationship Id="rId2" Type="http://schemas.microsoft.com/office/2011/relationships/chartColorStyle" Target="colors1.xml"/><Relationship Id="rId1" Type="http://schemas.microsoft.com/office/2011/relationships/chartStyle" Target="style1.xml"/><Relationship Id="rId4" Type="http://schemas.openxmlformats.org/officeDocument/2006/relationships/image" Target="../media/image8.svg"/></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5.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Ex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50" baseline="0">
                <a:solidFill>
                  <a:schemeClr val="tx1"/>
                </a:solidFill>
                <a:latin typeface="+mn-lt"/>
                <a:ea typeface="+mn-ea"/>
                <a:cs typeface="+mn-cs"/>
              </a:defRPr>
            </a:pPr>
            <a:r>
              <a:rPr lang="en-US" sz="1600" b="0">
                <a:solidFill>
                  <a:schemeClr val="tx1"/>
                </a:solidFill>
              </a:rPr>
              <a:t>Probability of</a:t>
            </a:r>
            <a:r>
              <a:rPr lang="en-US" sz="1600" b="0" baseline="0">
                <a:solidFill>
                  <a:schemeClr val="tx1"/>
                </a:solidFill>
              </a:rPr>
              <a:t> Environmental improvement</a:t>
            </a:r>
            <a:r>
              <a:rPr lang="en-US" sz="1600" b="0">
                <a:solidFill>
                  <a:schemeClr val="tx1"/>
                </a:solidFill>
              </a:rPr>
              <a:t>: </a:t>
            </a:r>
            <a:r>
              <a:rPr lang="en-US" sz="1600" u="sng">
                <a:solidFill>
                  <a:schemeClr val="tx1"/>
                </a:solidFill>
              </a:rPr>
              <a:t>CUPS</a:t>
            </a:r>
          </a:p>
        </c:rich>
      </c:tx>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1"/>
              </a:solidFill>
              <a:latin typeface="+mn-lt"/>
              <a:ea typeface="+mn-ea"/>
              <a:cs typeface="+mn-cs"/>
            </a:defRPr>
          </a:pPr>
          <a:endParaRPr lang="en-US"/>
        </a:p>
      </c:txPr>
    </c:title>
    <c:autoTitleDeleted val="0"/>
    <c:plotArea>
      <c:layout/>
      <c:pieChart>
        <c:varyColors val="1"/>
        <c:ser>
          <c:idx val="1"/>
          <c:order val="0"/>
          <c:spPr>
            <a:blipFill>
              <a:blip xmlns:r="http://schemas.openxmlformats.org/officeDocument/2006/relationships" r:embed="rId3">
                <a:extLst>
                  <a:ext uri="{96DAC541-7B7A-43D3-8B79-37D633B846F1}">
                    <asvg:svgBlip xmlns:asvg="http://schemas.microsoft.com/office/drawing/2016/SVG/main" r:embed="rId4"/>
                  </a:ext>
                </a:extLst>
              </a:blip>
              <a:stretch>
                <a:fillRect/>
              </a:stretch>
            </a:blipFill>
          </c:spPr>
          <c:dPt>
            <c:idx val="0"/>
            <c:bubble3D val="0"/>
            <c:spPr>
              <a:solidFill>
                <a:schemeClr val="accent6">
                  <a:lumMod val="75000"/>
                </a:schemeClr>
              </a:solidFill>
              <a:ln w="12700">
                <a:solidFill>
                  <a:sysClr val="windowText" lastClr="000000"/>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D-9E1B-48F2-A7CE-E139EF2439B9}"/>
              </c:ext>
            </c:extLst>
          </c:dPt>
          <c:dPt>
            <c:idx val="1"/>
            <c:bubble3D val="0"/>
            <c:spPr>
              <a:solidFill>
                <a:srgbClr val="FF7575"/>
              </a:solidFill>
              <a:ln w="12700">
                <a:solidFill>
                  <a:sysClr val="windowText" lastClr="000000"/>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E-9E1B-48F2-A7CE-E139EF2439B9}"/>
              </c:ext>
            </c:extLst>
          </c:dPt>
          <c:dLbls>
            <c:dLbl>
              <c:idx val="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ln>
                        <a:solidFill>
                          <a:schemeClr val="tx1"/>
                        </a:solidFill>
                      </a:ln>
                      <a:solidFill>
                        <a:schemeClr val="accent6">
                          <a:lumMod val="20000"/>
                          <a:lumOff val="80000"/>
                        </a:schemeClr>
                      </a:solidFill>
                      <a:effectLst>
                        <a:glow rad="101600">
                          <a:schemeClr val="bg1">
                            <a:alpha val="60000"/>
                          </a:schemeClr>
                        </a:glo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9E1B-48F2-A7CE-E139EF2439B9}"/>
                </c:ext>
              </c:extLst>
            </c:dLbl>
            <c:dLbl>
              <c:idx val="1"/>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ln>
                        <a:solidFill>
                          <a:schemeClr val="tx1"/>
                        </a:solidFill>
                      </a:ln>
                      <a:solidFill>
                        <a:srgbClr val="FCC8C9"/>
                      </a:solidFill>
                      <a:effectLst>
                        <a:glow rad="101600">
                          <a:schemeClr val="bg1">
                            <a:alpha val="60000"/>
                          </a:schemeClr>
                        </a:glow>
                      </a:effectLst>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E-9E1B-48F2-A7CE-E139EF2439B9}"/>
                </c:ext>
              </c:extLst>
            </c:dLbl>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'Control Sheet'!$B$9:$C$9</c:f>
              <c:strCache>
                <c:ptCount val="2"/>
                <c:pt idx="0">
                  <c:v>Probability of Saving Cups</c:v>
                </c:pt>
                <c:pt idx="1">
                  <c:v>Probability of Using More Cups</c:v>
                </c:pt>
              </c:strCache>
            </c:strRef>
          </c:cat>
          <c:val>
            <c:numRef>
              <c:f>'Control Sheet'!$B$10:$C$10</c:f>
              <c:numCache>
                <c:formatCode>0%</c:formatCode>
                <c:ptCount val="2"/>
                <c:pt idx="0">
                  <c:v>4.3999999999999997E-2</c:v>
                </c:pt>
                <c:pt idx="1">
                  <c:v>0.95599999999999996</c:v>
                </c:pt>
              </c:numCache>
            </c:numRef>
          </c:val>
          <c:extLst>
            <c:ext xmlns:c16="http://schemas.microsoft.com/office/drawing/2014/chart" uri="{C3380CC4-5D6E-409C-BE32-E72D297353CC}">
              <c16:uniqueId val="{0000000C-9E1B-48F2-A7CE-E139EF2439B9}"/>
            </c:ext>
          </c:extLst>
        </c:ser>
        <c:ser>
          <c:idx val="0"/>
          <c:order val="1"/>
          <c:dPt>
            <c:idx val="0"/>
            <c:bubble3D val="0"/>
            <c:spPr>
              <a:solidFill>
                <a:schemeClr val="accent1"/>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8-9E1B-48F2-A7CE-E139EF2439B9}"/>
              </c:ext>
            </c:extLst>
          </c:dPt>
          <c:dPt>
            <c:idx val="1"/>
            <c:bubble3D val="0"/>
            <c:spPr>
              <a:solidFill>
                <a:schemeClr val="accent2"/>
              </a:solidFill>
              <a:ln>
                <a:no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A-9E1B-48F2-A7CE-E139EF2439B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'Control Sheet'!$B$9:$C$9</c:f>
              <c:strCache>
                <c:ptCount val="2"/>
                <c:pt idx="0">
                  <c:v>Probability of Saving Cups</c:v>
                </c:pt>
                <c:pt idx="1">
                  <c:v>Probability of Using More Cups</c:v>
                </c:pt>
              </c:strCache>
            </c:strRef>
          </c:cat>
          <c:val>
            <c:numRef>
              <c:f>'Control Sheet'!$B$11:$C$11</c:f>
              <c:numCache>
                <c:formatCode>0%</c:formatCode>
                <c:ptCount val="2"/>
                <c:pt idx="0">
                  <c:v>0.39</c:v>
                </c:pt>
                <c:pt idx="1">
                  <c:v>0.61</c:v>
                </c:pt>
              </c:numCache>
            </c:numRef>
          </c:val>
          <c:extLst>
            <c:ext xmlns:c16="http://schemas.microsoft.com/office/drawing/2014/chart" uri="{C3380CC4-5D6E-409C-BE32-E72D297353CC}">
              <c16:uniqueId val="{0000000B-9E1B-48F2-A7CE-E139EF2439B9}"/>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38100" cap="flat" cmpd="sng" algn="ctr">
      <a:solidFill>
        <a:schemeClr val="accent6"/>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cap="all" spc="50" baseline="0">
                <a:solidFill>
                  <a:schemeClr val="tx1"/>
                </a:solidFill>
                <a:latin typeface="+mn-lt"/>
                <a:ea typeface="+mn-ea"/>
                <a:cs typeface="+mn-cs"/>
              </a:defRPr>
            </a:pPr>
            <a:r>
              <a:rPr lang="en-US" sz="1600" b="0">
                <a:solidFill>
                  <a:schemeClr val="tx1"/>
                </a:solidFill>
              </a:rPr>
              <a:t>Probability</a:t>
            </a:r>
            <a:r>
              <a:rPr lang="en-US" sz="1600" b="0" baseline="0">
                <a:solidFill>
                  <a:schemeClr val="tx1"/>
                </a:solidFill>
              </a:rPr>
              <a:t> of environmental improvement: </a:t>
            </a:r>
            <a:r>
              <a:rPr lang="en-US" sz="1600" u="sng" baseline="0">
                <a:solidFill>
                  <a:schemeClr val="tx1"/>
                </a:solidFill>
              </a:rPr>
              <a:t>MUGS</a:t>
            </a:r>
            <a:endParaRPr lang="en-US" sz="1600" u="sng">
              <a:solidFill>
                <a:schemeClr val="tx1"/>
              </a:solidFill>
            </a:endParaRPr>
          </a:p>
        </c:rich>
      </c:tx>
      <c:overlay val="0"/>
      <c:spPr>
        <a:noFill/>
        <a:ln>
          <a:noFill/>
        </a:ln>
        <a:effectLst/>
      </c:spPr>
      <c:txPr>
        <a:bodyPr rot="0" spcFirstLastPara="1" vertOverflow="ellipsis" vert="horz" wrap="square" anchor="ctr" anchorCtr="1"/>
        <a:lstStyle/>
        <a:p>
          <a:pPr>
            <a:defRPr sz="1600" b="1" i="0" u="none" strike="noStrike" kern="1200" cap="all" spc="50" baseline="0">
              <a:solidFill>
                <a:schemeClr val="tx1"/>
              </a:solidFill>
              <a:latin typeface="+mn-lt"/>
              <a:ea typeface="+mn-ea"/>
              <a:cs typeface="+mn-cs"/>
            </a:defRPr>
          </a:pPr>
          <a:endParaRPr lang="en-US"/>
        </a:p>
      </c:txPr>
    </c:title>
    <c:autoTitleDeleted val="0"/>
    <c:plotArea>
      <c:layout/>
      <c:pieChart>
        <c:varyColors val="1"/>
        <c:ser>
          <c:idx val="0"/>
          <c:order val="0"/>
          <c:spPr>
            <a:ln w="12700">
              <a:solidFill>
                <a:sysClr val="windowText" lastClr="000000"/>
              </a:solidFill>
            </a:ln>
          </c:spPr>
          <c:dPt>
            <c:idx val="0"/>
            <c:bubble3D val="0"/>
            <c:spPr>
              <a:solidFill>
                <a:schemeClr val="accent6"/>
              </a:solidFill>
              <a:ln w="12700">
                <a:solidFill>
                  <a:sysClr val="windowText" lastClr="000000"/>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1A8A-4741-8AFD-A4CCA2B877DE}"/>
              </c:ext>
            </c:extLst>
          </c:dPt>
          <c:dPt>
            <c:idx val="1"/>
            <c:bubble3D val="0"/>
            <c:spPr>
              <a:solidFill>
                <a:srgbClr val="FF7575"/>
              </a:solidFill>
              <a:ln w="12700">
                <a:solidFill>
                  <a:sysClr val="windowText" lastClr="000000"/>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1A8A-4741-8AFD-A4CCA2B877DE}"/>
              </c:ext>
            </c:extLst>
          </c:dPt>
          <c:dLbls>
            <c:dLbl>
              <c:idx val="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ln>
                        <a:solidFill>
                          <a:schemeClr val="tx1"/>
                        </a:solidFill>
                      </a:ln>
                      <a:solidFill>
                        <a:schemeClr val="accent6">
                          <a:lumMod val="40000"/>
                          <a:lumOff val="60000"/>
                        </a:schemeClr>
                      </a:solidFill>
                      <a:effectLst>
                        <a:glow rad="101600">
                          <a:schemeClr val="bg1">
                            <a:alpha val="60000"/>
                          </a:schemeClr>
                        </a:glow>
                      </a:effectLst>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1A8A-4741-8AFD-A4CCA2B877DE}"/>
                </c:ext>
              </c:extLst>
            </c:dLbl>
            <c:dLbl>
              <c:idx val="1"/>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ln>
                        <a:solidFill>
                          <a:schemeClr val="tx1"/>
                        </a:solidFill>
                      </a:ln>
                      <a:solidFill>
                        <a:srgbClr val="FCC8C9"/>
                      </a:solidFill>
                      <a:effectLst>
                        <a:glow rad="101600">
                          <a:schemeClr val="bg1">
                            <a:alpha val="60000"/>
                          </a:schemeClr>
                        </a:glow>
                      </a:effectLst>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1A8A-4741-8AFD-A4CCA2B877DE}"/>
                </c:ext>
              </c:extLst>
            </c:dLbl>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effectLst>
                      <a:glow rad="101600">
                        <a:schemeClr val="bg1">
                          <a:alpha val="60000"/>
                        </a:schemeClr>
                      </a:glow>
                    </a:effectLst>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'Control Sheet'!$B$9:$C$9</c:f>
              <c:strCache>
                <c:ptCount val="2"/>
                <c:pt idx="0">
                  <c:v>Probability of Saving Cups</c:v>
                </c:pt>
                <c:pt idx="1">
                  <c:v>Probability of Using More Cups</c:v>
                </c:pt>
              </c:strCache>
            </c:strRef>
          </c:cat>
          <c:val>
            <c:numRef>
              <c:f>'Control Sheet'!$B$11:$C$11</c:f>
              <c:numCache>
                <c:formatCode>0%</c:formatCode>
                <c:ptCount val="2"/>
                <c:pt idx="0">
                  <c:v>0.39</c:v>
                </c:pt>
                <c:pt idx="1">
                  <c:v>0.61</c:v>
                </c:pt>
              </c:numCache>
            </c:numRef>
          </c:val>
          <c:extLst>
            <c:ext xmlns:c16="http://schemas.microsoft.com/office/drawing/2014/chart" uri="{C3380CC4-5D6E-409C-BE32-E72D297353CC}">
              <c16:uniqueId val="{00000004-1A8A-4741-8AFD-A4CCA2B877D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accent6"/>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r>
              <a:rPr lang="en-US" sz="1400" b="0">
                <a:solidFill>
                  <a:schemeClr val="tx1"/>
                </a:solidFill>
              </a:rPr>
              <a:t>Probability</a:t>
            </a:r>
            <a:r>
              <a:rPr lang="en-US" sz="1400" b="0" baseline="0">
                <a:solidFill>
                  <a:schemeClr val="tx1"/>
                </a:solidFill>
              </a:rPr>
              <a:t> of environmental improvement: </a:t>
            </a:r>
            <a:r>
              <a:rPr lang="en-US" sz="1400" u="sng" baseline="0">
                <a:solidFill>
                  <a:schemeClr val="tx1"/>
                </a:solidFill>
              </a:rPr>
              <a:t>Combined</a:t>
            </a:r>
            <a:endParaRPr lang="en-US" sz="1400" u="sng">
              <a:solidFill>
                <a:schemeClr val="tx1"/>
              </a:solidFill>
            </a:endParaRPr>
          </a:p>
        </c:rich>
      </c:tx>
      <c:overlay val="0"/>
      <c:spPr>
        <a:noFill/>
        <a:ln>
          <a:noFill/>
        </a:ln>
        <a:effectLst/>
      </c:spPr>
      <c:txPr>
        <a:bodyPr rot="0" spcFirstLastPara="1" vertOverflow="ellipsis" vert="horz" wrap="square" anchor="ctr" anchorCtr="1"/>
        <a:lstStyle/>
        <a:p>
          <a:pPr>
            <a:defRPr sz="1400" b="1" i="0" u="none" strike="noStrike" kern="1200" cap="all" spc="50" baseline="0">
              <a:solidFill>
                <a:schemeClr val="tx1"/>
              </a:solidFill>
              <a:latin typeface="+mn-lt"/>
              <a:ea typeface="+mn-ea"/>
              <a:cs typeface="+mn-cs"/>
            </a:defRPr>
          </a:pPr>
          <a:endParaRPr lang="en-US"/>
        </a:p>
      </c:txPr>
    </c:title>
    <c:autoTitleDeleted val="0"/>
    <c:plotArea>
      <c:layout/>
      <c:pieChart>
        <c:varyColors val="1"/>
        <c:ser>
          <c:idx val="0"/>
          <c:order val="0"/>
          <c:spPr>
            <a:solidFill>
              <a:schemeClr val="accent6">
                <a:lumMod val="75000"/>
              </a:schemeClr>
            </a:solidFill>
          </c:spPr>
          <c:dPt>
            <c:idx val="0"/>
            <c:bubble3D val="0"/>
            <c:spPr>
              <a:solidFill>
                <a:srgbClr val="73B04A">
                  <a:alpha val="74000"/>
                </a:srgbClr>
              </a:solidFill>
              <a:ln w="12700">
                <a:solidFill>
                  <a:sysClr val="windowText" lastClr="000000"/>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1-2308-4F54-9E3A-3B8E1904FFCE}"/>
              </c:ext>
            </c:extLst>
          </c:dPt>
          <c:dPt>
            <c:idx val="1"/>
            <c:bubble3D val="0"/>
            <c:spPr>
              <a:solidFill>
                <a:srgbClr val="FF7575"/>
              </a:solidFill>
              <a:ln w="12700">
                <a:solidFill>
                  <a:sysClr val="windowText" lastClr="000000"/>
                </a:solidFill>
              </a:ln>
              <a:effectLst/>
              <a:scene3d>
                <a:camera prst="orthographicFront"/>
                <a:lightRig rig="brightRoom" dir="t"/>
              </a:scene3d>
              <a:sp3d prstMaterial="flat">
                <a:bevelT w="50800" h="101600" prst="angle"/>
                <a:contourClr>
                  <a:srgbClr val="000000"/>
                </a:contourClr>
              </a:sp3d>
            </c:spPr>
            <c:extLst>
              <c:ext xmlns:c16="http://schemas.microsoft.com/office/drawing/2014/chart" uri="{C3380CC4-5D6E-409C-BE32-E72D297353CC}">
                <c16:uniqueId val="{00000003-2308-4F54-9E3A-3B8E1904FFCE}"/>
              </c:ext>
            </c:extLst>
          </c:dPt>
          <c:dLbls>
            <c:dLbl>
              <c:idx val="0"/>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ln w="12700">
                        <a:solidFill>
                          <a:sysClr val="windowText" lastClr="000000"/>
                        </a:solidFill>
                      </a:ln>
                      <a:solidFill>
                        <a:schemeClr val="accent6">
                          <a:lumMod val="20000"/>
                          <a:lumOff val="80000"/>
                        </a:schemeClr>
                      </a:solidFill>
                      <a:effectLst>
                        <a:glow rad="101600">
                          <a:schemeClr val="bg1">
                            <a:alpha val="60000"/>
                          </a:schemeClr>
                        </a:glow>
                      </a:effectLst>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2308-4F54-9E3A-3B8E1904FFCE}"/>
                </c:ext>
              </c:extLst>
            </c:dLbl>
            <c:dLbl>
              <c:idx val="1"/>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ln>
                        <a:solidFill>
                          <a:sysClr val="windowText" lastClr="000000"/>
                        </a:solidFill>
                      </a:ln>
                      <a:solidFill>
                        <a:srgbClr val="FCC8C9"/>
                      </a:solidFill>
                      <a:effectLst>
                        <a:glow rad="101600">
                          <a:schemeClr val="bg1">
                            <a:alpha val="60000"/>
                          </a:schemeClr>
                        </a:glow>
                      </a:effectLst>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2308-4F54-9E3A-3B8E1904FFCE}"/>
                </c:ext>
              </c:extLst>
            </c:dLbl>
            <c:spPr>
              <a:noFill/>
              <a:ln>
                <a:noFill/>
              </a:ln>
              <a:effectLst/>
            </c:spPr>
            <c:txPr>
              <a:bodyPr rot="0" spcFirstLastPara="1" vertOverflow="ellipsis" vert="horz" wrap="square" lIns="38100" tIns="19050" rIns="38100" bIns="19050" anchor="ctr" anchorCtr="1">
                <a:spAutoFit/>
              </a:bodyPr>
              <a:lstStyle/>
              <a:p>
                <a:pPr>
                  <a:defRPr sz="2800" b="1" i="0" u="none" strike="noStrike" kern="1200" baseline="0">
                    <a:solidFill>
                      <a:schemeClr val="lt1"/>
                    </a:solidFill>
                    <a:effectLst>
                      <a:glow rad="101600">
                        <a:schemeClr val="bg1">
                          <a:alpha val="60000"/>
                        </a:schemeClr>
                      </a:glow>
                    </a:effectLst>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'Control Sheet'!$B$9:$C$9</c:f>
              <c:strCache>
                <c:ptCount val="2"/>
                <c:pt idx="0">
                  <c:v>Probability of Saving Cups</c:v>
                </c:pt>
                <c:pt idx="1">
                  <c:v>Probability of Using More Cups</c:v>
                </c:pt>
              </c:strCache>
            </c:strRef>
          </c:cat>
          <c:val>
            <c:numRef>
              <c:f>'Control Sheet'!$B$12:$C$12</c:f>
              <c:numCache>
                <c:formatCode>0%</c:formatCode>
                <c:ptCount val="2"/>
                <c:pt idx="0">
                  <c:v>0.83699999999999997</c:v>
                </c:pt>
                <c:pt idx="1">
                  <c:v>0.16300000000000003</c:v>
                </c:pt>
              </c:numCache>
            </c:numRef>
          </c:val>
          <c:extLst>
            <c:ext xmlns:c16="http://schemas.microsoft.com/office/drawing/2014/chart" uri="{C3380CC4-5D6E-409C-BE32-E72D297353CC}">
              <c16:uniqueId val="{00000004-2308-4F54-9E3A-3B8E1904FFCE}"/>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t"/>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38100" cap="flat" cmpd="sng" algn="ctr">
      <a:solidFill>
        <a:schemeClr val="accent6"/>
      </a:solidFill>
      <a:round/>
    </a:ln>
    <a:effectLst>
      <a:outerShdw blurRad="50800" dist="38100" dir="2700000" algn="tl" rotWithShape="0">
        <a:prstClr val="black">
          <a:alpha val="40000"/>
        </a:prstClr>
      </a:outerShdw>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50" normalizeH="0" baseline="0">
                <a:solidFill>
                  <a:schemeClr val="tx1">
                    <a:lumMod val="65000"/>
                    <a:lumOff val="35000"/>
                  </a:schemeClr>
                </a:solidFill>
                <a:latin typeface="+mj-lt"/>
                <a:ea typeface="+mj-ea"/>
                <a:cs typeface="+mj-cs"/>
              </a:defRPr>
            </a:pPr>
            <a:r>
              <a:rPr lang="en-US" sz="1800" b="1"/>
              <a:t>Revenue Comparison</a:t>
            </a:r>
          </a:p>
        </c:rich>
      </c:tx>
      <c:overlay val="0"/>
      <c:spPr>
        <a:noFill/>
        <a:ln>
          <a:noFill/>
        </a:ln>
        <a:effectLst/>
      </c:spPr>
      <c:txPr>
        <a:bodyPr rot="0" spcFirstLastPara="1" vertOverflow="ellipsis" vert="horz" wrap="square" anchor="ctr" anchorCtr="1"/>
        <a:lstStyle/>
        <a:p>
          <a:pPr>
            <a:defRPr sz="18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schemeClr val="accent1">
                <a:alpha val="70000"/>
              </a:schemeClr>
            </a:solidFill>
            <a:ln>
              <a:noFill/>
            </a:ln>
            <a:effectLst/>
          </c:spPr>
          <c:invertIfNegative val="0"/>
          <c:dPt>
            <c:idx val="1"/>
            <c:invertIfNegative val="0"/>
            <c:bubble3D val="0"/>
            <c:spPr>
              <a:solidFill>
                <a:schemeClr val="accent6">
                  <a:lumMod val="50000"/>
                  <a:alpha val="70000"/>
                </a:schemeClr>
              </a:solidFill>
              <a:ln>
                <a:noFill/>
              </a:ln>
              <a:effectLst/>
            </c:spPr>
            <c:extLst>
              <c:ext xmlns:c16="http://schemas.microsoft.com/office/drawing/2014/chart" uri="{C3380CC4-5D6E-409C-BE32-E72D297353CC}">
                <c16:uniqueId val="{00000005-68AF-49A3-B5EB-9D98A43F7E1D}"/>
              </c:ext>
            </c:extLst>
          </c:dPt>
          <c:dPt>
            <c:idx val="2"/>
            <c:invertIfNegative val="0"/>
            <c:bubble3D val="0"/>
            <c:spPr>
              <a:solidFill>
                <a:schemeClr val="accent6">
                  <a:lumMod val="75000"/>
                  <a:alpha val="70000"/>
                </a:schemeClr>
              </a:solidFill>
              <a:ln>
                <a:noFill/>
              </a:ln>
              <a:effectLst/>
            </c:spPr>
            <c:extLst>
              <c:ext xmlns:c16="http://schemas.microsoft.com/office/drawing/2014/chart" uri="{C3380CC4-5D6E-409C-BE32-E72D297353CC}">
                <c16:uniqueId val="{00000002-68AF-49A3-B5EB-9D98A43F7E1D}"/>
              </c:ext>
            </c:extLst>
          </c:dPt>
          <c:dPt>
            <c:idx val="3"/>
            <c:invertIfNegative val="0"/>
            <c:bubble3D val="0"/>
            <c:spPr>
              <a:solidFill>
                <a:schemeClr val="accent6">
                  <a:alpha val="70000"/>
                </a:schemeClr>
              </a:solidFill>
              <a:ln>
                <a:noFill/>
              </a:ln>
              <a:effectLst/>
            </c:spPr>
            <c:extLst>
              <c:ext xmlns:c16="http://schemas.microsoft.com/office/drawing/2014/chart" uri="{C3380CC4-5D6E-409C-BE32-E72D297353CC}">
                <c16:uniqueId val="{00000003-68AF-49A3-B5EB-9D98A43F7E1D}"/>
              </c:ext>
            </c:extLst>
          </c:dPt>
          <c:dPt>
            <c:idx val="4"/>
            <c:invertIfNegative val="0"/>
            <c:bubble3D val="0"/>
            <c:spPr>
              <a:solidFill>
                <a:srgbClr val="9AC77B">
                  <a:alpha val="70000"/>
                </a:srgbClr>
              </a:solidFill>
              <a:ln>
                <a:noFill/>
              </a:ln>
              <a:effectLst/>
            </c:spPr>
            <c:extLst>
              <c:ext xmlns:c16="http://schemas.microsoft.com/office/drawing/2014/chart" uri="{C3380CC4-5D6E-409C-BE32-E72D297353CC}">
                <c16:uniqueId val="{00000004-68AF-49A3-B5EB-9D98A43F7E1D}"/>
              </c:ext>
            </c:extLst>
          </c:dPt>
          <c:dLbls>
            <c:numFmt formatCode="&quot;$&quot;#,\k;\-&quot;$&quot;#,\k;&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Dashboard!$E$87:$F$91</c:f>
              <c:multiLvlStrCache>
                <c:ptCount val="5"/>
                <c:lvl>
                  <c:pt idx="0">
                    <c:v>Historical</c:v>
                  </c:pt>
                  <c:pt idx="1">
                    <c:v>No Initiative</c:v>
                  </c:pt>
                  <c:pt idx="2">
                    <c:v>Compostable Cups</c:v>
                  </c:pt>
                  <c:pt idx="3">
                    <c:v>Reusable Mugs</c:v>
                  </c:pt>
                  <c:pt idx="4">
                    <c:v>Combined</c:v>
                  </c:pt>
                </c:lvl>
                <c:lvl>
                  <c:pt idx="0">
                    <c:v>2018 Revenue</c:v>
                  </c:pt>
                  <c:pt idx="1">
                    <c:v>2019 Simulated Revenue</c:v>
                  </c:pt>
                </c:lvl>
              </c:multiLvlStrCache>
            </c:multiLvlStrRef>
          </c:cat>
          <c:val>
            <c:numRef>
              <c:f>Dashboard!$G$87:$G$91</c:f>
              <c:numCache>
                <c:formatCode>_(* #,##0_);_(* \(#,##0\);_(* "-"??_);_(@_)</c:formatCode>
                <c:ptCount val="5"/>
                <c:pt idx="0">
                  <c:v>275533.75</c:v>
                </c:pt>
                <c:pt idx="1">
                  <c:v>286136.10802522971</c:v>
                </c:pt>
                <c:pt idx="2">
                  <c:v>333605.58</c:v>
                </c:pt>
                <c:pt idx="3">
                  <c:v>332024.92914499983</c:v>
                </c:pt>
                <c:pt idx="4">
                  <c:v>330799.02730000042</c:v>
                </c:pt>
              </c:numCache>
            </c:numRef>
          </c:val>
          <c:extLst>
            <c:ext xmlns:c16="http://schemas.microsoft.com/office/drawing/2014/chart" uri="{C3380CC4-5D6E-409C-BE32-E72D297353CC}">
              <c16:uniqueId val="{00000000-68AF-49A3-B5EB-9D98A43F7E1D}"/>
            </c:ext>
          </c:extLst>
        </c:ser>
        <c:dLbls>
          <c:dLblPos val="inEnd"/>
          <c:showLegendKey val="0"/>
          <c:showVal val="1"/>
          <c:showCatName val="0"/>
          <c:showSerName val="0"/>
          <c:showPercent val="0"/>
          <c:showBubbleSize val="0"/>
        </c:dLbls>
        <c:gapWidth val="80"/>
        <c:overlap val="25"/>
        <c:axId val="1134634751"/>
        <c:axId val="1134614367"/>
      </c:barChart>
      <c:catAx>
        <c:axId val="1134634751"/>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cap="none" spc="20" normalizeH="0" baseline="0">
                <a:solidFill>
                  <a:schemeClr val="tx1">
                    <a:lumMod val="65000"/>
                    <a:lumOff val="35000"/>
                  </a:schemeClr>
                </a:solidFill>
                <a:latin typeface="+mn-lt"/>
                <a:ea typeface="+mn-ea"/>
                <a:cs typeface="+mn-cs"/>
              </a:defRPr>
            </a:pPr>
            <a:endParaRPr lang="en-US"/>
          </a:p>
        </c:txPr>
        <c:crossAx val="1134614367"/>
        <c:crosses val="autoZero"/>
        <c:auto val="1"/>
        <c:lblAlgn val="ctr"/>
        <c:lblOffset val="100"/>
        <c:noMultiLvlLbl val="0"/>
      </c:catAx>
      <c:valAx>
        <c:axId val="1134614367"/>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r>
                  <a:rPr lang="en-US"/>
                  <a:t>Revenue</a:t>
                </a:r>
              </a:p>
            </c:rich>
          </c:tx>
          <c:overlay val="0"/>
          <c:spPr>
            <a:noFill/>
            <a:ln>
              <a:noFill/>
            </a:ln>
            <a:effectLst/>
          </c:spPr>
          <c:txPr>
            <a:bodyPr rot="-540000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endParaRPr lang="en-US"/>
            </a:p>
          </c:txPr>
        </c:title>
        <c:numFmt formatCode="&quot;$&quot;#,\k;\-&quot;$&quot;#,\k;&quot;$&quot;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spc="20" baseline="0">
                <a:solidFill>
                  <a:schemeClr val="tx1">
                    <a:lumMod val="65000"/>
                    <a:lumOff val="35000"/>
                  </a:schemeClr>
                </a:solidFill>
                <a:latin typeface="+mn-lt"/>
                <a:ea typeface="+mn-ea"/>
                <a:cs typeface="+mn-cs"/>
              </a:defRPr>
            </a:pPr>
            <a:endParaRPr lang="en-US"/>
          </a:p>
        </c:txPr>
        <c:crossAx val="1134634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38100" cap="flat" cmpd="sng" algn="ctr">
      <a:solidFill>
        <a:schemeClr val="accent6"/>
      </a:solidFill>
      <a:round/>
    </a:ln>
    <a:effectLst>
      <a:outerShdw blurRad="50800" dist="38100" dir="2700000" algn="tl" rotWithShape="0">
        <a:prstClr val="black">
          <a:alpha val="40000"/>
        </a:prstClr>
      </a:outerShdw>
    </a:effectLst>
  </c:spPr>
  <c:txPr>
    <a:bodyPr/>
    <a:lstStyle/>
    <a:p>
      <a:pPr>
        <a:defRPr sz="110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cap="none" spc="50" normalizeH="0" baseline="0">
                <a:solidFill>
                  <a:schemeClr val="tx1">
                    <a:lumMod val="65000"/>
                    <a:lumOff val="35000"/>
                  </a:schemeClr>
                </a:solidFill>
                <a:latin typeface="+mj-lt"/>
                <a:ea typeface="+mj-ea"/>
                <a:cs typeface="+mj-cs"/>
              </a:defRPr>
            </a:pPr>
            <a:r>
              <a:rPr lang="en-US" sz="1800" b="1"/>
              <a:t>Cost Comparison</a:t>
            </a:r>
          </a:p>
        </c:rich>
      </c:tx>
      <c:overlay val="0"/>
      <c:spPr>
        <a:noFill/>
        <a:ln>
          <a:noFill/>
        </a:ln>
        <a:effectLst/>
      </c:spPr>
      <c:txPr>
        <a:bodyPr rot="0" spcFirstLastPara="1" vertOverflow="ellipsis" vert="horz" wrap="square" anchor="ctr" anchorCtr="1"/>
        <a:lstStyle/>
        <a:p>
          <a:pPr>
            <a:defRPr sz="1800" b="1"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barChart>
        <c:barDir val="col"/>
        <c:grouping val="clustered"/>
        <c:varyColors val="0"/>
        <c:ser>
          <c:idx val="0"/>
          <c:order val="0"/>
          <c:spPr>
            <a:solidFill>
              <a:schemeClr val="accent1">
                <a:alpha val="70000"/>
              </a:schemeClr>
            </a:solidFill>
            <a:ln>
              <a:noFill/>
            </a:ln>
            <a:effectLst/>
          </c:spPr>
          <c:invertIfNegative val="0"/>
          <c:dPt>
            <c:idx val="1"/>
            <c:invertIfNegative val="0"/>
            <c:bubble3D val="0"/>
            <c:spPr>
              <a:solidFill>
                <a:schemeClr val="accent6">
                  <a:lumMod val="50000"/>
                  <a:alpha val="70000"/>
                </a:schemeClr>
              </a:solidFill>
              <a:ln>
                <a:noFill/>
              </a:ln>
              <a:effectLst/>
            </c:spPr>
            <c:extLst>
              <c:ext xmlns:c16="http://schemas.microsoft.com/office/drawing/2014/chart" uri="{C3380CC4-5D6E-409C-BE32-E72D297353CC}">
                <c16:uniqueId val="{00000001-AEE2-49F8-A88D-355D550AB09F}"/>
              </c:ext>
            </c:extLst>
          </c:dPt>
          <c:dPt>
            <c:idx val="2"/>
            <c:invertIfNegative val="0"/>
            <c:bubble3D val="0"/>
            <c:spPr>
              <a:solidFill>
                <a:schemeClr val="accent6">
                  <a:lumMod val="75000"/>
                  <a:alpha val="70000"/>
                </a:schemeClr>
              </a:solidFill>
              <a:ln>
                <a:noFill/>
              </a:ln>
              <a:effectLst/>
            </c:spPr>
            <c:extLst>
              <c:ext xmlns:c16="http://schemas.microsoft.com/office/drawing/2014/chart" uri="{C3380CC4-5D6E-409C-BE32-E72D297353CC}">
                <c16:uniqueId val="{00000003-AEE2-49F8-A88D-355D550AB09F}"/>
              </c:ext>
            </c:extLst>
          </c:dPt>
          <c:dPt>
            <c:idx val="3"/>
            <c:invertIfNegative val="0"/>
            <c:bubble3D val="0"/>
            <c:spPr>
              <a:solidFill>
                <a:schemeClr val="accent6">
                  <a:alpha val="70000"/>
                </a:schemeClr>
              </a:solidFill>
              <a:ln>
                <a:noFill/>
              </a:ln>
              <a:effectLst/>
            </c:spPr>
            <c:extLst>
              <c:ext xmlns:c16="http://schemas.microsoft.com/office/drawing/2014/chart" uri="{C3380CC4-5D6E-409C-BE32-E72D297353CC}">
                <c16:uniqueId val="{00000005-AEE2-49F8-A88D-355D550AB09F}"/>
              </c:ext>
            </c:extLst>
          </c:dPt>
          <c:dPt>
            <c:idx val="4"/>
            <c:invertIfNegative val="0"/>
            <c:bubble3D val="0"/>
            <c:spPr>
              <a:solidFill>
                <a:srgbClr val="9AC77B">
                  <a:alpha val="70000"/>
                </a:srgbClr>
              </a:solidFill>
              <a:ln>
                <a:noFill/>
              </a:ln>
              <a:effectLst/>
            </c:spPr>
            <c:extLst>
              <c:ext xmlns:c16="http://schemas.microsoft.com/office/drawing/2014/chart" uri="{C3380CC4-5D6E-409C-BE32-E72D297353CC}">
                <c16:uniqueId val="{00000007-AEE2-49F8-A88D-355D550AB09F}"/>
              </c:ext>
            </c:extLst>
          </c:dPt>
          <c:dLbls>
            <c:numFmt formatCode="&quot;$&quot;#,\k;\-&quot;$&quot;#,\k;&quot;$&quot;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Dashboard!$R$87:$S$91</c:f>
              <c:multiLvlStrCache>
                <c:ptCount val="5"/>
                <c:lvl>
                  <c:pt idx="0">
                    <c:v>Historical</c:v>
                  </c:pt>
                  <c:pt idx="1">
                    <c:v>No Initiative</c:v>
                  </c:pt>
                  <c:pt idx="2">
                    <c:v>Compostable Cups</c:v>
                  </c:pt>
                  <c:pt idx="3">
                    <c:v>Reusable Mugs</c:v>
                  </c:pt>
                  <c:pt idx="4">
                    <c:v>Combined</c:v>
                  </c:pt>
                </c:lvl>
                <c:lvl>
                  <c:pt idx="0">
                    <c:v>2018 Costs</c:v>
                  </c:pt>
                  <c:pt idx="1">
                    <c:v>2019 Simulated Costs</c:v>
                  </c:pt>
                </c:lvl>
              </c:multiLvlStrCache>
            </c:multiLvlStrRef>
          </c:cat>
          <c:val>
            <c:numRef>
              <c:f>Dashboard!$T$87:$T$91</c:f>
              <c:numCache>
                <c:formatCode>_(* #,##0_);_(* \(#,##0\);_(* "-"??_);_(@_)</c:formatCode>
                <c:ptCount val="5"/>
                <c:pt idx="0">
                  <c:v>3313.1000000000004</c:v>
                </c:pt>
                <c:pt idx="1">
                  <c:v>4087.6586860747102</c:v>
                </c:pt>
                <c:pt idx="2">
                  <c:v>12484.746799999932</c:v>
                </c:pt>
                <c:pt idx="3">
                  <c:v>6171.327350000005</c:v>
                </c:pt>
                <c:pt idx="4">
                  <c:v>7186.4234499999966</c:v>
                </c:pt>
              </c:numCache>
            </c:numRef>
          </c:val>
          <c:extLst>
            <c:ext xmlns:c16="http://schemas.microsoft.com/office/drawing/2014/chart" uri="{C3380CC4-5D6E-409C-BE32-E72D297353CC}">
              <c16:uniqueId val="{00000008-AEE2-49F8-A88D-355D550AB09F}"/>
            </c:ext>
          </c:extLst>
        </c:ser>
        <c:dLbls>
          <c:dLblPos val="inEnd"/>
          <c:showLegendKey val="0"/>
          <c:showVal val="1"/>
          <c:showCatName val="0"/>
          <c:showSerName val="0"/>
          <c:showPercent val="0"/>
          <c:showBubbleSize val="0"/>
        </c:dLbls>
        <c:gapWidth val="80"/>
        <c:overlap val="25"/>
        <c:axId val="1134634751"/>
        <c:axId val="1134614367"/>
      </c:barChart>
      <c:catAx>
        <c:axId val="1134634751"/>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cap="none" spc="20" normalizeH="0" baseline="0">
                <a:solidFill>
                  <a:schemeClr val="tx1">
                    <a:lumMod val="65000"/>
                    <a:lumOff val="35000"/>
                  </a:schemeClr>
                </a:solidFill>
                <a:latin typeface="+mn-lt"/>
                <a:ea typeface="+mn-ea"/>
                <a:cs typeface="+mn-cs"/>
              </a:defRPr>
            </a:pPr>
            <a:endParaRPr lang="en-US"/>
          </a:p>
        </c:txPr>
        <c:crossAx val="1134614367"/>
        <c:crosses val="autoZero"/>
        <c:auto val="1"/>
        <c:lblAlgn val="ctr"/>
        <c:lblOffset val="100"/>
        <c:noMultiLvlLbl val="0"/>
      </c:catAx>
      <c:valAx>
        <c:axId val="1134614367"/>
        <c:scaling>
          <c:orientation val="minMax"/>
        </c:scaling>
        <c:delete val="0"/>
        <c:axPos val="l"/>
        <c:majorGridlines>
          <c:spPr>
            <a:ln w="9525" cap="flat" cmpd="sng" algn="ctr">
              <a:solidFill>
                <a:schemeClr val="tx1">
                  <a:lumMod val="5000"/>
                  <a:lumOff val="95000"/>
                </a:schemeClr>
              </a:solidFill>
              <a:round/>
            </a:ln>
            <a:effectLst/>
          </c:spPr>
        </c:majorGridlines>
        <c:title>
          <c:tx>
            <c:rich>
              <a:bodyPr rot="-540000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r>
                  <a:rPr lang="en-US"/>
                  <a:t>Costs</a:t>
                </a:r>
              </a:p>
            </c:rich>
          </c:tx>
          <c:overlay val="0"/>
          <c:spPr>
            <a:noFill/>
            <a:ln>
              <a:noFill/>
            </a:ln>
            <a:effectLst/>
          </c:spPr>
          <c:txPr>
            <a:bodyPr rot="-5400000" spcFirstLastPara="1" vertOverflow="ellipsis" vert="horz" wrap="square" anchor="ctr" anchorCtr="1"/>
            <a:lstStyle/>
            <a:p>
              <a:pPr>
                <a:defRPr sz="1100" b="0" i="0" u="none" strike="noStrike" kern="1200" cap="all" baseline="0">
                  <a:solidFill>
                    <a:schemeClr val="tx1">
                      <a:lumMod val="65000"/>
                      <a:lumOff val="35000"/>
                    </a:schemeClr>
                  </a:solidFill>
                  <a:latin typeface="+mn-lt"/>
                  <a:ea typeface="+mn-ea"/>
                  <a:cs typeface="+mn-cs"/>
                </a:defRPr>
              </a:pPr>
              <a:endParaRPr lang="en-US"/>
            </a:p>
          </c:txPr>
        </c:title>
        <c:numFmt formatCode="&quot;$&quot;#,\k;\-&quot;$&quot;#,\k;&quot;$&quot;0" sourceLinked="0"/>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spc="20" baseline="0">
                <a:solidFill>
                  <a:schemeClr val="tx1">
                    <a:lumMod val="65000"/>
                    <a:lumOff val="35000"/>
                  </a:schemeClr>
                </a:solidFill>
                <a:latin typeface="+mn-lt"/>
                <a:ea typeface="+mn-ea"/>
                <a:cs typeface="+mn-cs"/>
              </a:defRPr>
            </a:pPr>
            <a:endParaRPr lang="en-US"/>
          </a:p>
        </c:txPr>
        <c:crossAx val="1134634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38100" cap="flat" cmpd="sng" algn="ctr">
      <a:solidFill>
        <a:schemeClr val="accent6"/>
      </a:solidFill>
      <a:round/>
    </a:ln>
    <a:effectLst>
      <a:outerShdw blurRad="50800" dist="38100" dir="2700000" algn="tl" rotWithShape="0">
        <a:prstClr val="black">
          <a:alpha val="40000"/>
        </a:prstClr>
      </a:outerShdw>
    </a:effectLst>
  </c:spPr>
  <c:txPr>
    <a:bodyPr/>
    <a:lstStyle/>
    <a:p>
      <a:pPr>
        <a:defRPr sz="1100"/>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_xlchart.v1.0</cx:f>
      </cx:numDim>
    </cx:data>
    <cx:data id="1">
      <cx:numDim type="val">
        <cx:f>_xlchart.v1.1</cx:f>
      </cx:numDim>
    </cx:data>
    <cx:data id="2">
      <cx:numDim type="val">
        <cx:f>_xlchart.v1.2</cx:f>
      </cx:numDim>
    </cx:data>
  </cx:chartData>
  <cx:chart>
    <cx:title pos="t" align="ctr" overlay="0">
      <cx:tx>
        <cx:txData>
          <cx:v>Bottom-Line Improvement Distribution (From 2018)</cx:v>
        </cx:txData>
      </cx:tx>
      <cx:txPr>
        <a:bodyPr spcFirstLastPara="1" vertOverflow="ellipsis" horzOverflow="overflow" wrap="square" lIns="0" tIns="0" rIns="0" bIns="0" anchor="ctr" anchorCtr="1"/>
        <a:lstStyle/>
        <a:p>
          <a:pPr algn="ctr" rtl="0">
            <a:defRPr sz="1800"/>
          </a:pPr>
          <a:r>
            <a:rPr lang="en-US" sz="1800" b="0" i="0" u="none" strike="noStrike" baseline="0">
              <a:solidFill>
                <a:sysClr val="windowText" lastClr="000000">
                  <a:lumMod val="65000"/>
                  <a:lumOff val="35000"/>
                </a:sysClr>
              </a:solidFill>
              <a:latin typeface="Calibri" panose="020F0502020204030204"/>
            </a:rPr>
            <a:t>Bottom-Line Improvement Distribution (From 2018)</a:t>
          </a:r>
        </a:p>
      </cx:txPr>
    </cx:title>
    <cx:plotArea>
      <cx:plotAreaRegion>
        <cx:series layoutId="boxWhisker" uniqueId="{DB2EA935-5F78-4640-91CA-17E3C1C555A9}">
          <cx:tx>
            <cx:txData>
              <cx:f/>
              <cx:v>Compostable Cups</cx:v>
            </cx:txData>
          </cx:tx>
          <cx:dataId val="0"/>
          <cx:layoutPr>
            <cx:visibility meanLine="0" meanMarker="1" nonoutliers="0" outliers="1"/>
            <cx:statistics quartileMethod="exclusive"/>
          </cx:layoutPr>
        </cx:series>
        <cx:series layoutId="boxWhisker" uniqueId="{933F62A8-DDFA-45B8-93C4-2A37B5A551BF}">
          <cx:tx>
            <cx:txData>
              <cx:f/>
              <cx:v>Reusable Mugs</cx:v>
            </cx:txData>
          </cx:tx>
          <cx:dataId val="1"/>
          <cx:layoutPr>
            <cx:visibility meanLine="0" meanMarker="1" nonoutliers="0" outliers="1"/>
            <cx:statistics quartileMethod="exclusive"/>
          </cx:layoutPr>
        </cx:series>
        <cx:series layoutId="boxWhisker" uniqueId="{00000000-611C-4E4B-8A69-E2A1119645C1}">
          <cx:tx>
            <cx:txData>
              <cx:f/>
              <cx:v>Combined Scenario</cx:v>
            </cx:txData>
          </cx:tx>
          <cx:dataId val="2"/>
          <cx:layoutPr>
            <cx:visibility meanLine="0" meanMarker="1" nonoutliers="0" outliers="1"/>
            <cx:statistics quartileMethod="exclusive"/>
          </cx:layoutPr>
        </cx:series>
      </cx:plotAreaRegion>
      <cx:axis id="0" hidden="1">
        <cx:catScaling gapWidth="1"/>
        <cx:tickLabels/>
      </cx:axis>
      <cx:axis id="1">
        <cx:valScaling/>
        <cx:title>
          <cx:tx>
            <cx:txData>
              <cx:v>Bottom-Line Improvement</cx:v>
            </cx:txData>
          </cx:tx>
          <cx:txPr>
            <a:bodyPr spcFirstLastPara="1" vertOverflow="ellipsis" horzOverflow="overflow" wrap="square" lIns="0" tIns="0" rIns="0" bIns="0" anchor="ctr" anchorCtr="1"/>
            <a:lstStyle/>
            <a:p>
              <a:pPr algn="ctr" rtl="0">
                <a:defRPr sz="1200"/>
              </a:pPr>
              <a:r>
                <a:rPr lang="en-US" sz="1200" b="0" i="0" u="none" strike="noStrike" baseline="0">
                  <a:solidFill>
                    <a:sysClr val="windowText" lastClr="000000">
                      <a:lumMod val="65000"/>
                      <a:lumOff val="35000"/>
                    </a:sysClr>
                  </a:solidFill>
                  <a:latin typeface="Calibri" panose="020F0502020204030204"/>
                </a:rPr>
                <a:t>Bottom-Line Improvement</a:t>
              </a:r>
            </a:p>
          </cx:txPr>
        </cx:title>
        <cx:majorGridlines/>
        <cx:tickLabels/>
        <cx:numFmt formatCode="$#,k;-$#,k;$0" sourceLinked="0"/>
        <cx:txPr>
          <a:bodyPr spcFirstLastPara="1" vertOverflow="ellipsis" horzOverflow="overflow" wrap="square" lIns="0" tIns="0" rIns="0" bIns="0" anchor="ctr" anchorCtr="1"/>
          <a:lstStyle/>
          <a:p>
            <a:pPr algn="ctr" rtl="0">
              <a:defRPr sz="1400"/>
            </a:pPr>
            <a:endParaRPr lang="en-US" sz="1400" b="0" i="0" u="none" strike="noStrike" baseline="0">
              <a:solidFill>
                <a:sysClr val="windowText" lastClr="000000">
                  <a:lumMod val="65000"/>
                  <a:lumOff val="35000"/>
                </a:sysClr>
              </a:solidFill>
              <a:latin typeface="Calibri" panose="020F0502020204030204"/>
            </a:endParaRPr>
          </a:p>
        </cx:txPr>
      </cx:axis>
    </cx:plotArea>
    <cx:legend pos="t" align="ctr" overlay="0">
      <cx:txPr>
        <a:bodyPr spcFirstLastPara="1" vertOverflow="ellipsis" horzOverflow="overflow" wrap="square" lIns="0" tIns="0" rIns="0" bIns="0" anchor="ctr" anchorCtr="1"/>
        <a:lstStyle/>
        <a:p>
          <a:pPr algn="ctr" rtl="0">
            <a:defRPr sz="1800"/>
          </a:pPr>
          <a:endParaRPr lang="en-US" sz="1800" b="0" i="0" u="none" strike="noStrike" baseline="0">
            <a:solidFill>
              <a:sysClr val="windowText" lastClr="000000">
                <a:lumMod val="65000"/>
                <a:lumOff val="35000"/>
              </a:sysClr>
            </a:solidFill>
            <a:latin typeface="Calibri" panose="020F0502020204030204"/>
          </a:endParaRPr>
        </a:p>
      </cx:txPr>
    </cx:legend>
  </cx:chart>
  <cx:spPr>
    <a:ln w="38100">
      <a:solidFill>
        <a:schemeClr val="accent6"/>
      </a:solidFill>
    </a:ln>
    <a:effectLst>
      <a:outerShdw blurRad="50800" dist="38100" dir="2700000" algn="tl" rotWithShape="0">
        <a:prstClr val="black">
          <a:alpha val="40000"/>
        </a:prstClr>
      </a:outerShdw>
    </a:effectLst>
  </cx:spPr>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9">
  <a:schemeClr val="accent6"/>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40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solidFill>
      <a:ln>
        <a:solidFill>
          <a:schemeClr val="phClr"/>
        </a:solidFill>
      </a:ln>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5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lt1"/>
    </cs:fontRef>
    <cs:defRPr sz="900" b="1"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scene3d>
        <a:camera prst="orthographicFront"/>
        <a:lightRig rig="brightRoom" dir="t"/>
      </a:scene3d>
      <a:sp3d prstMaterial="flat">
        <a:bevelT w="50800" h="101600" prst="angle"/>
        <a:contourClr>
          <a:srgbClr val="000000"/>
        </a:contourClr>
      </a:sp3d>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1" i="0" kern="1200" cap="all" spc="5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checked="Checked" fmlaLink="'Control Sheet'!$B$2" lockText="1" noThreeD="1"/>
</file>

<file path=xl/ctrlProps/ctrlProp5.xml><?xml version="1.0" encoding="utf-8"?>
<formControlPr xmlns="http://schemas.microsoft.com/office/spreadsheetml/2009/9/main" objectType="CheckBox" checked="Checked" fmlaLink="'Control Sheet'!$B$3" lockText="1" noThreeD="1"/>
</file>

<file path=xl/ctrlProps/ctrlProp6.xml><?xml version="1.0" encoding="utf-8"?>
<formControlPr xmlns="http://schemas.microsoft.com/office/spreadsheetml/2009/9/main" objectType="Spin" dx="26" fmlaLink="$AE$13" max="2030" min="2019" page="10" val="2019"/>
</file>

<file path=xl/ctrlProps/ctrlProp7.xml><?xml version="1.0" encoding="utf-8"?>
<formControlPr xmlns="http://schemas.microsoft.com/office/spreadsheetml/2009/9/main" objectType="Spin" dx="26" fmlaLink="$AG$27" max="99" min="1" page="10" val="10"/>
</file>

<file path=xl/ctrlProps/ctrlProp8.xml><?xml version="1.0" encoding="utf-8"?>
<formControlPr xmlns="http://schemas.microsoft.com/office/spreadsheetml/2009/9/main" objectType="Spin" dx="26" fmlaLink="$AI$27" max="100" min="1" page="10" val="15"/>
</file>

<file path=xl/ctrlProps/ctrlProp9.xml><?xml version="1.0" encoding="utf-8"?>
<formControlPr xmlns="http://schemas.microsoft.com/office/spreadsheetml/2009/9/main" objectType="Spin" dx="31" fmlaLink="$AD$18" max="100" page="10" val="10"/>
</file>

<file path=xl/ctrlProps/ctrlProp10.xml><?xml version="1.0" encoding="utf-8"?>
<formControlPr xmlns="http://schemas.microsoft.com/office/spreadsheetml/2009/9/main" objectType="Spin" dx="26" fmlaLink="$AG$20" max="99" min="1" page="10" val="5"/>
</file>

<file path=xl/ctrlProps/ctrlProp11.xml><?xml version="1.0" encoding="utf-8"?>
<formControlPr xmlns="http://schemas.microsoft.com/office/spreadsheetml/2009/9/main" objectType="Spin" dx="26" fmlaLink="$AI$20" max="100" min="1" page="10" val="10"/>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CheckBox" checked="Checked" fmlaLink="'Control Sheet'!$P$4:$P$5"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Compostable Cup Scenario'!A1"/><Relationship Id="rId7" Type="http://schemas.openxmlformats.org/officeDocument/2006/relationships/hyperlink" Target="#'Combined Scenario'!A1"/><Relationship Id="rId2" Type="http://schemas.openxmlformats.org/officeDocument/2006/relationships/hyperlink" Target="#'Main Menu'!A1"/><Relationship Id="rId1" Type="http://schemas.openxmlformats.org/officeDocument/2006/relationships/image" Target="../media/image1.jpg"/><Relationship Id="rId6" Type="http://schemas.openxmlformats.org/officeDocument/2006/relationships/hyperlink" Target="#Metrics!A1"/><Relationship Id="rId5" Type="http://schemas.openxmlformats.org/officeDocument/2006/relationships/hyperlink" Target="#Dashboard!A1"/><Relationship Id="rId4" Type="http://schemas.openxmlformats.org/officeDocument/2006/relationships/hyperlink" Target="#'Reusable Mug Scenario'!A1"/></Relationships>
</file>

<file path=xl/drawings/_rels/drawing2.xml.rels><?xml version="1.0" encoding="UTF-8" standalone="yes"?>
<Relationships xmlns="http://schemas.openxmlformats.org/package/2006/relationships"><Relationship Id="rId3" Type="http://schemas.openxmlformats.org/officeDocument/2006/relationships/hyperlink" Target="#'Reusable Mug Scenario'!A1"/><Relationship Id="rId2" Type="http://schemas.openxmlformats.org/officeDocument/2006/relationships/hyperlink" Target="#'Compostable Cup Scenario'!A1"/><Relationship Id="rId1" Type="http://schemas.openxmlformats.org/officeDocument/2006/relationships/hyperlink" Target="#'Main Menu'!A1"/><Relationship Id="rId6" Type="http://schemas.openxmlformats.org/officeDocument/2006/relationships/hyperlink" Target="#'Combined Scenario'!A1"/><Relationship Id="rId5" Type="http://schemas.openxmlformats.org/officeDocument/2006/relationships/hyperlink" Target="#Metrics!A1"/><Relationship Id="rId4" Type="http://schemas.openxmlformats.org/officeDocument/2006/relationships/hyperlink" Target="#Dashboard!A1"/></Relationships>
</file>

<file path=xl/drawings/_rels/drawing3.xml.rels><?xml version="1.0" encoding="UTF-8" standalone="yes"?>
<Relationships xmlns="http://schemas.openxmlformats.org/package/2006/relationships"><Relationship Id="rId3" Type="http://schemas.openxmlformats.org/officeDocument/2006/relationships/hyperlink" Target="#'Reusable Mug Scenario'!A1"/><Relationship Id="rId2" Type="http://schemas.openxmlformats.org/officeDocument/2006/relationships/hyperlink" Target="#'Compostable Cup Scenario'!A1"/><Relationship Id="rId1" Type="http://schemas.openxmlformats.org/officeDocument/2006/relationships/hyperlink" Target="#'Main Menu'!A1"/><Relationship Id="rId6" Type="http://schemas.openxmlformats.org/officeDocument/2006/relationships/hyperlink" Target="#'Combined Scenario'!A1"/><Relationship Id="rId5" Type="http://schemas.openxmlformats.org/officeDocument/2006/relationships/hyperlink" Target="#Metrics!A1"/><Relationship Id="rId4" Type="http://schemas.openxmlformats.org/officeDocument/2006/relationships/hyperlink" Target="#Dashboard!A1"/></Relationships>
</file>

<file path=xl/drawings/_rels/drawing4.xml.rels><?xml version="1.0" encoding="UTF-8" standalone="yes"?>
<Relationships xmlns="http://schemas.openxmlformats.org/package/2006/relationships"><Relationship Id="rId3" Type="http://schemas.openxmlformats.org/officeDocument/2006/relationships/hyperlink" Target="#'Reusable Mug Scenario'!A1"/><Relationship Id="rId2" Type="http://schemas.openxmlformats.org/officeDocument/2006/relationships/hyperlink" Target="#'Compostable Cup Scenario'!A1"/><Relationship Id="rId1" Type="http://schemas.openxmlformats.org/officeDocument/2006/relationships/hyperlink" Target="#'Main Menu'!A1"/><Relationship Id="rId6" Type="http://schemas.openxmlformats.org/officeDocument/2006/relationships/hyperlink" Target="#'Combined Scenario'!A1"/><Relationship Id="rId5" Type="http://schemas.openxmlformats.org/officeDocument/2006/relationships/hyperlink" Target="#Metrics!A1"/><Relationship Id="rId4" Type="http://schemas.openxmlformats.org/officeDocument/2006/relationships/hyperlink" Target="#Dashboard!A1"/></Relationships>
</file>

<file path=xl/drawings/_rels/drawing5.xml.rels><?xml version="1.0" encoding="UTF-8" standalone="yes"?>
<Relationships xmlns="http://schemas.openxmlformats.org/package/2006/relationships"><Relationship Id="rId13" Type="http://schemas.openxmlformats.org/officeDocument/2006/relationships/image" Target="../media/image12.png"/><Relationship Id="rId18" Type="http://schemas.openxmlformats.org/officeDocument/2006/relationships/image" Target="../media/image17.svg"/><Relationship Id="rId26" Type="http://schemas.openxmlformats.org/officeDocument/2006/relationships/hyperlink" Target="#Dashboard!A6"/><Relationship Id="rId3" Type="http://schemas.openxmlformats.org/officeDocument/2006/relationships/image" Target="../media/image4.png"/><Relationship Id="rId21" Type="http://schemas.openxmlformats.org/officeDocument/2006/relationships/hyperlink" Target="#'Reusable Mug Scenario'!A1"/><Relationship Id="rId34" Type="http://schemas.openxmlformats.org/officeDocument/2006/relationships/hyperlink" Target="#Dashboard!A122"/><Relationship Id="rId7" Type="http://schemas.openxmlformats.org/officeDocument/2006/relationships/chart" Target="../charts/chart2.xml"/><Relationship Id="rId12" Type="http://schemas.openxmlformats.org/officeDocument/2006/relationships/image" Target="../media/image11.svg"/><Relationship Id="rId17" Type="http://schemas.openxmlformats.org/officeDocument/2006/relationships/image" Target="../media/image16.png"/><Relationship Id="rId25" Type="http://schemas.openxmlformats.org/officeDocument/2006/relationships/hyperlink" Target="#Dashboard!AQ1"/><Relationship Id="rId33" Type="http://schemas.openxmlformats.org/officeDocument/2006/relationships/chart" Target="../charts/chart4.xml"/><Relationship Id="rId2" Type="http://schemas.openxmlformats.org/officeDocument/2006/relationships/image" Target="../media/image3.svg"/><Relationship Id="rId16" Type="http://schemas.openxmlformats.org/officeDocument/2006/relationships/image" Target="../media/image15.svg"/><Relationship Id="rId20" Type="http://schemas.openxmlformats.org/officeDocument/2006/relationships/hyperlink" Target="#'Compostable Cup Scenario'!A1"/><Relationship Id="rId29" Type="http://schemas.openxmlformats.org/officeDocument/2006/relationships/hyperlink" Target="#Dashboard!A148"/><Relationship Id="rId1" Type="http://schemas.openxmlformats.org/officeDocument/2006/relationships/image" Target="../media/image2.png"/><Relationship Id="rId6" Type="http://schemas.openxmlformats.org/officeDocument/2006/relationships/chart" Target="../charts/chart1.xml"/><Relationship Id="rId11" Type="http://schemas.openxmlformats.org/officeDocument/2006/relationships/image" Target="../media/image10.png"/><Relationship Id="rId24" Type="http://schemas.openxmlformats.org/officeDocument/2006/relationships/hyperlink" Target="#'Combined Scenario'!A1"/><Relationship Id="rId32" Type="http://schemas.openxmlformats.org/officeDocument/2006/relationships/image" Target="../media/image20.svg"/><Relationship Id="rId5" Type="http://schemas.openxmlformats.org/officeDocument/2006/relationships/image" Target="../media/image6.svg"/><Relationship Id="rId15" Type="http://schemas.openxmlformats.org/officeDocument/2006/relationships/image" Target="../media/image14.png"/><Relationship Id="rId23" Type="http://schemas.openxmlformats.org/officeDocument/2006/relationships/hyperlink" Target="#Metrics!A1"/><Relationship Id="rId28" Type="http://schemas.openxmlformats.org/officeDocument/2006/relationships/hyperlink" Target="#Dashboard!A46"/><Relationship Id="rId10" Type="http://schemas.openxmlformats.org/officeDocument/2006/relationships/chart" Target="../charts/chart3.xml"/><Relationship Id="rId19" Type="http://schemas.openxmlformats.org/officeDocument/2006/relationships/hyperlink" Target="#'Main Menu'!A1"/><Relationship Id="rId31" Type="http://schemas.openxmlformats.org/officeDocument/2006/relationships/image" Target="../media/image19.png"/><Relationship Id="rId4" Type="http://schemas.openxmlformats.org/officeDocument/2006/relationships/image" Target="../media/image5.svg"/><Relationship Id="rId9" Type="http://schemas.openxmlformats.org/officeDocument/2006/relationships/image" Target="../media/image9.svg"/><Relationship Id="rId14" Type="http://schemas.openxmlformats.org/officeDocument/2006/relationships/image" Target="../media/image13.svg"/><Relationship Id="rId22" Type="http://schemas.openxmlformats.org/officeDocument/2006/relationships/hyperlink" Target="#Dashboard!A1"/><Relationship Id="rId27" Type="http://schemas.openxmlformats.org/officeDocument/2006/relationships/hyperlink" Target="#Dashboard!A78"/><Relationship Id="rId30" Type="http://schemas.openxmlformats.org/officeDocument/2006/relationships/image" Target="../media/image18.svg"/><Relationship Id="rId35" Type="http://schemas.openxmlformats.org/officeDocument/2006/relationships/chart" Target="../charts/chart5.xml"/><Relationship Id="rId8" Type="http://schemas.microsoft.com/office/2014/relationships/chartEx" Target="../charts/chartEx1.xml"/></Relationships>
</file>

<file path=xl/drawings/_rels/drawing6.xml.rels><?xml version="1.0" encoding="UTF-8" standalone="yes"?>
<Relationships xmlns="http://schemas.openxmlformats.org/package/2006/relationships"><Relationship Id="rId3" Type="http://schemas.openxmlformats.org/officeDocument/2006/relationships/hyperlink" Target="#'Reusable Mug Scenario'!A1"/><Relationship Id="rId2" Type="http://schemas.openxmlformats.org/officeDocument/2006/relationships/hyperlink" Target="#'Compostable Cup Scenario'!A1"/><Relationship Id="rId1" Type="http://schemas.openxmlformats.org/officeDocument/2006/relationships/hyperlink" Target="#'Main Menu'!A1"/><Relationship Id="rId6" Type="http://schemas.openxmlformats.org/officeDocument/2006/relationships/hyperlink" Target="#'Combined Scenario'!A1"/><Relationship Id="rId5" Type="http://schemas.openxmlformats.org/officeDocument/2006/relationships/hyperlink" Target="#Metrics!A1"/><Relationship Id="rId4" Type="http://schemas.openxmlformats.org/officeDocument/2006/relationships/hyperlink" Target="#Dashboard!A1"/></Relationships>
</file>

<file path=xl/drawings/drawing1.xml><?xml version="1.0" encoding="utf-8"?>
<xdr:wsDr xmlns:xdr="http://schemas.openxmlformats.org/drawingml/2006/spreadsheetDrawing" xmlns:a="http://schemas.openxmlformats.org/drawingml/2006/main">
  <xdr:twoCellAnchor editAs="oneCell">
    <xdr:from>
      <xdr:col>1</xdr:col>
      <xdr:colOff>377613</xdr:colOff>
      <xdr:row>11</xdr:row>
      <xdr:rowOff>149465</xdr:rowOff>
    </xdr:from>
    <xdr:to>
      <xdr:col>9</xdr:col>
      <xdr:colOff>245533</xdr:colOff>
      <xdr:row>30</xdr:row>
      <xdr:rowOff>47723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496146" y="2333865"/>
          <a:ext cx="4744720" cy="3801391"/>
        </a:xfrm>
        <a:prstGeom prst="rect">
          <a:avLst/>
        </a:prstGeom>
        <a:ln w="38100">
          <a:solidFill>
            <a:schemeClr val="accent6">
              <a:lumMod val="75000"/>
            </a:schemeClr>
          </a:solidFill>
        </a:ln>
        <a:effectLst>
          <a:outerShdw blurRad="50800" dist="38100" dir="2700000" algn="tl" rotWithShape="0">
            <a:prstClr val="black">
              <a:alpha val="40000"/>
            </a:prstClr>
          </a:outerShdw>
        </a:effectLst>
      </xdr:spPr>
    </xdr:pic>
    <xdr:clientData/>
  </xdr:twoCellAnchor>
  <xdr:twoCellAnchor>
    <xdr:from>
      <xdr:col>1</xdr:col>
      <xdr:colOff>558799</xdr:colOff>
      <xdr:row>4</xdr:row>
      <xdr:rowOff>118532</xdr:rowOff>
    </xdr:from>
    <xdr:to>
      <xdr:col>7</xdr:col>
      <xdr:colOff>16933</xdr:colOff>
      <xdr:row>10</xdr:row>
      <xdr:rowOff>33867</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677332" y="1142999"/>
          <a:ext cx="3115734" cy="1083735"/>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solidFill>
              <a:effectLst/>
              <a:latin typeface="+mn-lt"/>
              <a:ea typeface="+mn-ea"/>
              <a:cs typeface="+mn-cs"/>
            </a:rPr>
            <a:t>This report seeks to provide Springfield Beans management with </a:t>
          </a:r>
          <a:r>
            <a:rPr lang="en-US" sz="1200" b="1" i="0" u="none" strike="noStrike">
              <a:solidFill>
                <a:schemeClr val="tx1"/>
              </a:solidFill>
              <a:effectLst/>
              <a:latin typeface="+mn-lt"/>
              <a:ea typeface="+mn-ea"/>
              <a:cs typeface="+mn-cs"/>
            </a:rPr>
            <a:t>valuable data</a:t>
          </a:r>
          <a:r>
            <a:rPr lang="en-US" sz="1200" b="0" i="0" u="none" strike="noStrike">
              <a:solidFill>
                <a:schemeClr val="tx1"/>
              </a:solidFill>
              <a:effectLst/>
              <a:latin typeface="+mn-lt"/>
              <a:ea typeface="+mn-ea"/>
              <a:cs typeface="+mn-cs"/>
            </a:rPr>
            <a:t> related to their decision on how to </a:t>
          </a:r>
          <a:r>
            <a:rPr lang="en-US" sz="1200" b="1" i="0" u="none" strike="noStrike">
              <a:solidFill>
                <a:schemeClr val="tx1"/>
              </a:solidFill>
              <a:effectLst/>
              <a:latin typeface="+mn-lt"/>
              <a:ea typeface="+mn-ea"/>
              <a:cs typeface="+mn-cs"/>
            </a:rPr>
            <a:t>reduce</a:t>
          </a:r>
          <a:r>
            <a:rPr lang="en-US" sz="1200" b="0" i="0" u="none" strike="noStrike">
              <a:solidFill>
                <a:schemeClr val="tx1"/>
              </a:solidFill>
              <a:effectLst/>
              <a:latin typeface="+mn-lt"/>
              <a:ea typeface="+mn-ea"/>
              <a:cs typeface="+mn-cs"/>
            </a:rPr>
            <a:t> their stores' use of paper and plastic drinkware. The data in this report analyzes three scenarios: </a:t>
          </a:r>
          <a:endParaRPr lang="en-US" sz="1200">
            <a:solidFill>
              <a:schemeClr val="tx1"/>
            </a:solidFill>
          </a:endParaRPr>
        </a:p>
      </xdr:txBody>
    </xdr:sp>
    <xdr:clientData/>
  </xdr:twoCellAnchor>
  <xdr:twoCellAnchor>
    <xdr:from>
      <xdr:col>1</xdr:col>
      <xdr:colOff>8467</xdr:colOff>
      <xdr:row>2</xdr:row>
      <xdr:rowOff>50802</xdr:rowOff>
    </xdr:from>
    <xdr:to>
      <xdr:col>2</xdr:col>
      <xdr:colOff>242993</xdr:colOff>
      <xdr:row>2</xdr:row>
      <xdr:rowOff>313269</xdr:rowOff>
    </xdr:to>
    <xdr:sp macro="" textlink="">
      <xdr:nvSpPr>
        <xdr:cNvPr id="22" name="Rectangle 21">
          <a:hlinkClick xmlns:r="http://schemas.openxmlformats.org/officeDocument/2006/relationships" r:id="rId2"/>
          <a:extLst>
            <a:ext uri="{FF2B5EF4-FFF2-40B4-BE49-F238E27FC236}">
              <a16:creationId xmlns:a16="http://schemas.microsoft.com/office/drawing/2014/main" id="{00000000-0008-0000-0000-000016000000}"/>
            </a:ext>
          </a:extLst>
        </xdr:cNvPr>
        <xdr:cNvSpPr/>
      </xdr:nvSpPr>
      <xdr:spPr>
        <a:xfrm>
          <a:off x="127000" y="533402"/>
          <a:ext cx="844126" cy="262467"/>
        </a:xfrm>
        <a:prstGeom prst="rect">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Main Menu</a:t>
          </a:r>
        </a:p>
      </xdr:txBody>
    </xdr:sp>
    <xdr:clientData/>
  </xdr:twoCellAnchor>
  <xdr:twoCellAnchor>
    <xdr:from>
      <xdr:col>4</xdr:col>
      <xdr:colOff>443876</xdr:colOff>
      <xdr:row>2</xdr:row>
      <xdr:rowOff>50802</xdr:rowOff>
    </xdr:from>
    <xdr:to>
      <xdr:col>7</xdr:col>
      <xdr:colOff>322189</xdr:colOff>
      <xdr:row>2</xdr:row>
      <xdr:rowOff>313269</xdr:rowOff>
    </xdr:to>
    <xdr:sp macro="" textlink="">
      <xdr:nvSpPr>
        <xdr:cNvPr id="23" name="Rectangle 22">
          <a:hlinkClick xmlns:r="http://schemas.openxmlformats.org/officeDocument/2006/relationships" r:id="rId3"/>
          <a:extLst>
            <a:ext uri="{FF2B5EF4-FFF2-40B4-BE49-F238E27FC236}">
              <a16:creationId xmlns:a16="http://schemas.microsoft.com/office/drawing/2014/main" id="{00000000-0008-0000-0000-000017000000}"/>
            </a:ext>
          </a:extLst>
        </xdr:cNvPr>
        <xdr:cNvSpPr/>
      </xdr:nvSpPr>
      <xdr:spPr>
        <a:xfrm>
          <a:off x="2391209" y="533402"/>
          <a:ext cx="1707113"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Compostable</a:t>
          </a:r>
          <a:r>
            <a:rPr lang="en-US" sz="1100" u="sng" baseline="0"/>
            <a:t> Cup Scenario</a:t>
          </a:r>
          <a:endParaRPr lang="en-US" sz="1100" u="sng"/>
        </a:p>
      </xdr:txBody>
    </xdr:sp>
    <xdr:clientData/>
  </xdr:twoCellAnchor>
  <xdr:twoCellAnchor>
    <xdr:from>
      <xdr:col>10</xdr:col>
      <xdr:colOff>186944</xdr:colOff>
      <xdr:row>2</xdr:row>
      <xdr:rowOff>50802</xdr:rowOff>
    </xdr:from>
    <xdr:to>
      <xdr:col>12</xdr:col>
      <xdr:colOff>387350</xdr:colOff>
      <xdr:row>2</xdr:row>
      <xdr:rowOff>313269</xdr:rowOff>
    </xdr:to>
    <xdr:sp macro="" textlink="">
      <xdr:nvSpPr>
        <xdr:cNvPr id="24" name="Rectangle 23">
          <a:hlinkClick xmlns:r="http://schemas.openxmlformats.org/officeDocument/2006/relationships" r:id="rId4"/>
          <a:extLst>
            <a:ext uri="{FF2B5EF4-FFF2-40B4-BE49-F238E27FC236}">
              <a16:creationId xmlns:a16="http://schemas.microsoft.com/office/drawing/2014/main" id="{00000000-0008-0000-0000-000018000000}"/>
            </a:ext>
          </a:extLst>
        </xdr:cNvPr>
        <xdr:cNvSpPr/>
      </xdr:nvSpPr>
      <xdr:spPr>
        <a:xfrm>
          <a:off x="5793994" y="533402"/>
          <a:ext cx="1546606"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Reusable</a:t>
          </a:r>
          <a:r>
            <a:rPr lang="en-US" sz="1100" u="sng" baseline="0">
              <a:solidFill>
                <a:schemeClr val="bg1"/>
              </a:solidFill>
            </a:rPr>
            <a:t> Mug Scenario</a:t>
          </a:r>
          <a:endParaRPr lang="en-US" sz="1100" u="sng">
            <a:solidFill>
              <a:schemeClr val="bg1"/>
            </a:solidFill>
          </a:endParaRPr>
        </a:p>
      </xdr:txBody>
    </xdr:sp>
    <xdr:clientData/>
  </xdr:twoCellAnchor>
  <xdr:twoCellAnchor>
    <xdr:from>
      <xdr:col>20</xdr:col>
      <xdr:colOff>335669</xdr:colOff>
      <xdr:row>2</xdr:row>
      <xdr:rowOff>50802</xdr:rowOff>
    </xdr:from>
    <xdr:to>
      <xdr:col>21</xdr:col>
      <xdr:colOff>537413</xdr:colOff>
      <xdr:row>2</xdr:row>
      <xdr:rowOff>313269</xdr:rowOff>
    </xdr:to>
    <xdr:sp macro="" textlink="">
      <xdr:nvSpPr>
        <xdr:cNvPr id="25" name="Rectangle 24">
          <a:hlinkClick xmlns:r="http://schemas.openxmlformats.org/officeDocument/2006/relationships" r:id="rId5"/>
          <a:extLst>
            <a:ext uri="{FF2B5EF4-FFF2-40B4-BE49-F238E27FC236}">
              <a16:creationId xmlns:a16="http://schemas.microsoft.com/office/drawing/2014/main" id="{00000000-0008-0000-0000-000019000000}"/>
            </a:ext>
          </a:extLst>
        </xdr:cNvPr>
        <xdr:cNvSpPr/>
      </xdr:nvSpPr>
      <xdr:spPr>
        <a:xfrm>
          <a:off x="12036602" y="533402"/>
          <a:ext cx="811344"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Dashboard</a:t>
          </a:r>
        </a:p>
      </xdr:txBody>
    </xdr:sp>
    <xdr:clientData/>
  </xdr:twoCellAnchor>
  <xdr:twoCellAnchor>
    <xdr:from>
      <xdr:col>24</xdr:col>
      <xdr:colOff>402169</xdr:colOff>
      <xdr:row>2</xdr:row>
      <xdr:rowOff>50802</xdr:rowOff>
    </xdr:from>
    <xdr:to>
      <xdr:col>25</xdr:col>
      <xdr:colOff>413174</xdr:colOff>
      <xdr:row>2</xdr:row>
      <xdr:rowOff>313269</xdr:rowOff>
    </xdr:to>
    <xdr:sp macro="" textlink="">
      <xdr:nvSpPr>
        <xdr:cNvPr id="26" name="Rectangle 25">
          <a:hlinkClick xmlns:r="http://schemas.openxmlformats.org/officeDocument/2006/relationships" r:id="rId6"/>
          <a:extLst>
            <a:ext uri="{FF2B5EF4-FFF2-40B4-BE49-F238E27FC236}">
              <a16:creationId xmlns:a16="http://schemas.microsoft.com/office/drawing/2014/main" id="{00000000-0008-0000-0000-00001A000000}"/>
            </a:ext>
          </a:extLst>
        </xdr:cNvPr>
        <xdr:cNvSpPr/>
      </xdr:nvSpPr>
      <xdr:spPr>
        <a:xfrm>
          <a:off x="14541502" y="533402"/>
          <a:ext cx="620605"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Metrics</a:t>
          </a:r>
        </a:p>
      </xdr:txBody>
    </xdr:sp>
    <xdr:clientData/>
  </xdr:twoCellAnchor>
  <xdr:twoCellAnchor>
    <xdr:from>
      <xdr:col>15</xdr:col>
      <xdr:colOff>382367</xdr:colOff>
      <xdr:row>2</xdr:row>
      <xdr:rowOff>50802</xdr:rowOff>
    </xdr:from>
    <xdr:to>
      <xdr:col>17</xdr:col>
      <xdr:colOff>470914</xdr:colOff>
      <xdr:row>2</xdr:row>
      <xdr:rowOff>313269</xdr:rowOff>
    </xdr:to>
    <xdr:sp macro="" textlink="">
      <xdr:nvSpPr>
        <xdr:cNvPr id="27" name="Rectangle 26">
          <a:hlinkClick xmlns:r="http://schemas.openxmlformats.org/officeDocument/2006/relationships" r:id="rId7"/>
          <a:extLst>
            <a:ext uri="{FF2B5EF4-FFF2-40B4-BE49-F238E27FC236}">
              <a16:creationId xmlns:a16="http://schemas.microsoft.com/office/drawing/2014/main" id="{00000000-0008-0000-0000-00001B000000}"/>
            </a:ext>
          </a:extLst>
        </xdr:cNvPr>
        <xdr:cNvSpPr/>
      </xdr:nvSpPr>
      <xdr:spPr>
        <a:xfrm>
          <a:off x="9035300" y="533402"/>
          <a:ext cx="1307747"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Combined</a:t>
          </a:r>
          <a:r>
            <a:rPr lang="en-US" sz="1100" u="sng" baseline="0">
              <a:solidFill>
                <a:schemeClr val="bg1">
                  <a:lumMod val="95000"/>
                </a:schemeClr>
              </a:solidFill>
            </a:rPr>
            <a:t> Scenario</a:t>
          </a:r>
          <a:endParaRPr lang="en-US" sz="1100" u="sng">
            <a:solidFill>
              <a:schemeClr val="bg1">
                <a:lumMod val="95000"/>
              </a:schemeClr>
            </a:solidFill>
          </a:endParaRPr>
        </a:p>
      </xdr:txBody>
    </xdr:sp>
    <xdr:clientData/>
  </xdr:twoCellAnchor>
  <xdr:twoCellAnchor>
    <xdr:from>
      <xdr:col>7</xdr:col>
      <xdr:colOff>169335</xdr:colOff>
      <xdr:row>4</xdr:row>
      <xdr:rowOff>177798</xdr:rowOff>
    </xdr:from>
    <xdr:to>
      <xdr:col>13</xdr:col>
      <xdr:colOff>16935</xdr:colOff>
      <xdr:row>9</xdr:row>
      <xdr:rowOff>143933</xdr:rowOff>
    </xdr:to>
    <xdr:sp macro="" textlink="">
      <xdr:nvSpPr>
        <xdr:cNvPr id="10" name="TextBox 9">
          <a:extLst>
            <a:ext uri="{FF2B5EF4-FFF2-40B4-BE49-F238E27FC236}">
              <a16:creationId xmlns:a16="http://schemas.microsoft.com/office/drawing/2014/main" id="{00000000-0008-0000-0000-00000A000000}"/>
            </a:ext>
          </a:extLst>
        </xdr:cNvPr>
        <xdr:cNvSpPr txBox="1"/>
      </xdr:nvSpPr>
      <xdr:spPr>
        <a:xfrm>
          <a:off x="3945468" y="1202265"/>
          <a:ext cx="3632200" cy="939801"/>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u="none" strike="noStrike">
              <a:solidFill>
                <a:schemeClr val="tx1"/>
              </a:solidFill>
              <a:effectLst/>
              <a:latin typeface="+mn-lt"/>
              <a:ea typeface="+mn-ea"/>
              <a:cs typeface="+mn-cs"/>
            </a:rPr>
            <a:t>1) A complete switch to the use of </a:t>
          </a:r>
          <a:r>
            <a:rPr lang="en-US" sz="1200" b="1" i="0" u="none" strike="noStrike">
              <a:solidFill>
                <a:schemeClr val="tx1"/>
              </a:solidFill>
              <a:effectLst/>
              <a:latin typeface="+mn-lt"/>
              <a:ea typeface="+mn-ea"/>
              <a:cs typeface="+mn-cs"/>
            </a:rPr>
            <a:t>compostable cups</a:t>
          </a:r>
          <a:r>
            <a:rPr lang="en-US" sz="1200" b="0" i="0" u="none" strike="noStrike">
              <a:solidFill>
                <a:schemeClr val="tx1"/>
              </a:solidFill>
              <a:effectLst/>
              <a:latin typeface="+mn-lt"/>
              <a:ea typeface="+mn-ea"/>
              <a:cs typeface="+mn-cs"/>
            </a:rPr>
            <a:t>.</a:t>
          </a:r>
        </a:p>
        <a:p>
          <a:pPr algn="l"/>
          <a:r>
            <a:rPr lang="en-US" sz="1200" b="0" i="0" u="none" strike="noStrike">
              <a:solidFill>
                <a:schemeClr val="tx1"/>
              </a:solidFill>
              <a:effectLst/>
              <a:latin typeface="+mn-lt"/>
              <a:ea typeface="+mn-ea"/>
              <a:cs typeface="+mn-cs"/>
            </a:rPr>
            <a:t>2) The introduction of an option for customers to bring their own </a:t>
          </a:r>
          <a:r>
            <a:rPr lang="en-US" sz="1200" b="1" i="0" u="none" strike="noStrike">
              <a:solidFill>
                <a:schemeClr val="tx1"/>
              </a:solidFill>
              <a:effectLst/>
              <a:latin typeface="+mn-lt"/>
              <a:ea typeface="+mn-ea"/>
              <a:cs typeface="+mn-cs"/>
            </a:rPr>
            <a:t>reusable mugs </a:t>
          </a:r>
          <a:r>
            <a:rPr lang="en-US" sz="1200" b="0" i="0" u="none" strike="noStrike">
              <a:solidFill>
                <a:schemeClr val="tx1"/>
              </a:solidFill>
              <a:effectLst/>
              <a:latin typeface="+mn-lt"/>
              <a:ea typeface="+mn-ea"/>
              <a:cs typeface="+mn-cs"/>
            </a:rPr>
            <a:t>for a discount.</a:t>
          </a:r>
        </a:p>
        <a:p>
          <a:pPr algn="l"/>
          <a:r>
            <a:rPr lang="en-US" sz="1200" b="0" i="0" u="none" strike="noStrike">
              <a:solidFill>
                <a:schemeClr val="tx1"/>
              </a:solidFill>
              <a:effectLst/>
              <a:latin typeface="+mn-lt"/>
              <a:ea typeface="+mn-ea"/>
              <a:cs typeface="+mn-cs"/>
            </a:rPr>
            <a:t>3) A </a:t>
          </a:r>
          <a:r>
            <a:rPr lang="en-US" sz="1200" b="1" i="0" u="none" strike="noStrike">
              <a:solidFill>
                <a:schemeClr val="tx1"/>
              </a:solidFill>
              <a:effectLst/>
              <a:latin typeface="+mn-lt"/>
              <a:ea typeface="+mn-ea"/>
              <a:cs typeface="+mn-cs"/>
            </a:rPr>
            <a:t>combination</a:t>
          </a:r>
          <a:r>
            <a:rPr lang="en-US" sz="1200" b="0" i="0" u="none" strike="noStrike">
              <a:solidFill>
                <a:schemeClr val="tx1"/>
              </a:solidFill>
              <a:effectLst/>
              <a:latin typeface="+mn-lt"/>
              <a:ea typeface="+mn-ea"/>
              <a:cs typeface="+mn-cs"/>
            </a:rPr>
            <a:t> of the previous two scenarios. </a:t>
          </a:r>
          <a:endParaRPr lang="en-US" sz="1200">
            <a:solidFill>
              <a:schemeClr val="tx1"/>
            </a:solidFill>
          </a:endParaRPr>
        </a:p>
      </xdr:txBody>
    </xdr:sp>
    <xdr:clientData/>
  </xdr:twoCellAnchor>
  <xdr:twoCellAnchor>
    <xdr:from>
      <xdr:col>13</xdr:col>
      <xdr:colOff>160869</xdr:colOff>
      <xdr:row>5</xdr:row>
      <xdr:rowOff>25399</xdr:rowOff>
    </xdr:from>
    <xdr:to>
      <xdr:col>18</xdr:col>
      <xdr:colOff>237067</xdr:colOff>
      <xdr:row>9</xdr:row>
      <xdr:rowOff>127000</xdr:rowOff>
    </xdr:to>
    <xdr:sp macro="" textlink="">
      <xdr:nvSpPr>
        <xdr:cNvPr id="11" name="TextBox 10">
          <a:extLst>
            <a:ext uri="{FF2B5EF4-FFF2-40B4-BE49-F238E27FC236}">
              <a16:creationId xmlns:a16="http://schemas.microsoft.com/office/drawing/2014/main" id="{00000000-0008-0000-0000-00000B000000}"/>
            </a:ext>
          </a:extLst>
        </xdr:cNvPr>
        <xdr:cNvSpPr txBox="1"/>
      </xdr:nvSpPr>
      <xdr:spPr>
        <a:xfrm>
          <a:off x="7721602" y="1236132"/>
          <a:ext cx="3268132" cy="889001"/>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200" b="0" i="0">
              <a:solidFill>
                <a:schemeClr val="dk1"/>
              </a:solidFill>
              <a:effectLst/>
              <a:latin typeface="+mn-lt"/>
              <a:ea typeface="+mn-ea"/>
              <a:cs typeface="+mn-cs"/>
            </a:rPr>
            <a:t>The data being analyzed centers around the </a:t>
          </a:r>
          <a:r>
            <a:rPr lang="en-US" sz="1200" b="1" i="0">
              <a:solidFill>
                <a:schemeClr val="dk1"/>
              </a:solidFill>
              <a:effectLst/>
              <a:latin typeface="+mn-lt"/>
              <a:ea typeface="+mn-ea"/>
              <a:cs typeface="+mn-cs"/>
            </a:rPr>
            <a:t>environmental success</a:t>
          </a:r>
          <a:r>
            <a:rPr lang="en-US" sz="1200" b="0" i="0">
              <a:solidFill>
                <a:schemeClr val="dk1"/>
              </a:solidFill>
              <a:effectLst/>
              <a:latin typeface="+mn-lt"/>
              <a:ea typeface="+mn-ea"/>
              <a:cs typeface="+mn-cs"/>
            </a:rPr>
            <a:t> of each scenario and the resulting impact on Springfield Beans' </a:t>
          </a:r>
          <a:r>
            <a:rPr lang="en-US" sz="1200" b="1" i="0">
              <a:solidFill>
                <a:schemeClr val="dk1"/>
              </a:solidFill>
              <a:effectLst/>
              <a:latin typeface="+mn-lt"/>
              <a:ea typeface="+mn-ea"/>
              <a:cs typeface="+mn-cs"/>
            </a:rPr>
            <a:t>revenues and costs</a:t>
          </a:r>
          <a:r>
            <a:rPr lang="en-US" sz="1200" b="0" i="0">
              <a:solidFill>
                <a:schemeClr val="dk1"/>
              </a:solidFill>
              <a:effectLst/>
              <a:latin typeface="+mn-lt"/>
              <a:ea typeface="+mn-ea"/>
              <a:cs typeface="+mn-cs"/>
            </a:rPr>
            <a:t>.</a:t>
          </a:r>
          <a:r>
            <a:rPr lang="en-US" sz="1200">
              <a:solidFill>
                <a:schemeClr val="dk1"/>
              </a:solidFill>
              <a:effectLst/>
              <a:latin typeface="+mn-lt"/>
              <a:ea typeface="+mn-ea"/>
              <a:cs typeface="+mn-cs"/>
            </a:rPr>
            <a:t> </a:t>
          </a:r>
          <a:endParaRPr lang="en-US" sz="1400">
            <a:solidFill>
              <a:schemeClr val="tx1"/>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28575</xdr:colOff>
      <xdr:row>8</xdr:row>
      <xdr:rowOff>99060</xdr:rowOff>
    </xdr:from>
    <xdr:to>
      <xdr:col>12</xdr:col>
      <xdr:colOff>274320</xdr:colOff>
      <xdr:row>8</xdr:row>
      <xdr:rowOff>99060</xdr:rowOff>
    </xdr:to>
    <xdr:cxnSp macro="">
      <xdr:nvCxnSpPr>
        <xdr:cNvPr id="7" name="Straight Arrow Connector 6">
          <a:extLst>
            <a:ext uri="{FF2B5EF4-FFF2-40B4-BE49-F238E27FC236}">
              <a16:creationId xmlns:a16="http://schemas.microsoft.com/office/drawing/2014/main" id="{00000000-0008-0000-0100-000007000000}"/>
            </a:ext>
          </a:extLst>
        </xdr:cNvPr>
        <xdr:cNvCxnSpPr/>
      </xdr:nvCxnSpPr>
      <xdr:spPr>
        <a:xfrm>
          <a:off x="8198908" y="1741593"/>
          <a:ext cx="245745"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135254</xdr:colOff>
      <xdr:row>8</xdr:row>
      <xdr:rowOff>105727</xdr:rowOff>
    </xdr:from>
    <xdr:to>
      <xdr:col>12</xdr:col>
      <xdr:colOff>135254</xdr:colOff>
      <xdr:row>13</xdr:row>
      <xdr:rowOff>95250</xdr:rowOff>
    </xdr:to>
    <xdr:cxnSp macro="">
      <xdr:nvCxnSpPr>
        <xdr:cNvPr id="10" name="Straight Connector 9">
          <a:extLst>
            <a:ext uri="{FF2B5EF4-FFF2-40B4-BE49-F238E27FC236}">
              <a16:creationId xmlns:a16="http://schemas.microsoft.com/office/drawing/2014/main" id="{00000000-0008-0000-0100-00000A000000}"/>
            </a:ext>
          </a:extLst>
        </xdr:cNvPr>
        <xdr:cNvCxnSpPr/>
      </xdr:nvCxnSpPr>
      <xdr:spPr>
        <a:xfrm>
          <a:off x="8305587" y="1748260"/>
          <a:ext cx="0" cy="946257"/>
        </a:xfrm>
        <a:prstGeom prst="line">
          <a:avLst/>
        </a:prstGeom>
        <a:ln w="127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17145</xdr:colOff>
      <xdr:row>13</xdr:row>
      <xdr:rowOff>85726</xdr:rowOff>
    </xdr:from>
    <xdr:to>
      <xdr:col>12</xdr:col>
      <xdr:colOff>138112</xdr:colOff>
      <xdr:row>13</xdr:row>
      <xdr:rowOff>85726</xdr:rowOff>
    </xdr:to>
    <xdr:cxnSp macro="">
      <xdr:nvCxnSpPr>
        <xdr:cNvPr id="12" name="Straight Arrow Connector 11">
          <a:extLst>
            <a:ext uri="{FF2B5EF4-FFF2-40B4-BE49-F238E27FC236}">
              <a16:creationId xmlns:a16="http://schemas.microsoft.com/office/drawing/2014/main" id="{00000000-0008-0000-0100-00000C000000}"/>
            </a:ext>
          </a:extLst>
        </xdr:cNvPr>
        <xdr:cNvCxnSpPr/>
      </xdr:nvCxnSpPr>
      <xdr:spPr>
        <a:xfrm flipH="1">
          <a:off x="8187478" y="2684993"/>
          <a:ext cx="120967"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66675</xdr:colOff>
      <xdr:row>6</xdr:row>
      <xdr:rowOff>106680</xdr:rowOff>
    </xdr:from>
    <xdr:to>
      <xdr:col>9</xdr:col>
      <xdr:colOff>259080</xdr:colOff>
      <xdr:row>6</xdr:row>
      <xdr:rowOff>106680</xdr:rowOff>
    </xdr:to>
    <xdr:cxnSp macro="">
      <xdr:nvCxnSpPr>
        <xdr:cNvPr id="5" name="Straight Arrow Connector 4">
          <a:extLst>
            <a:ext uri="{FF2B5EF4-FFF2-40B4-BE49-F238E27FC236}">
              <a16:creationId xmlns:a16="http://schemas.microsoft.com/office/drawing/2014/main" id="{00000000-0008-0000-0100-000005000000}"/>
            </a:ext>
          </a:extLst>
        </xdr:cNvPr>
        <xdr:cNvCxnSpPr/>
      </xdr:nvCxnSpPr>
      <xdr:spPr>
        <a:xfrm>
          <a:off x="3292475" y="1512147"/>
          <a:ext cx="1665605"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8467</xdr:colOff>
      <xdr:row>2</xdr:row>
      <xdr:rowOff>50802</xdr:rowOff>
    </xdr:from>
    <xdr:to>
      <xdr:col>3</xdr:col>
      <xdr:colOff>251459</xdr:colOff>
      <xdr:row>2</xdr:row>
      <xdr:rowOff>313269</xdr:rowOff>
    </xdr:to>
    <xdr:sp macro="" textlink="">
      <xdr:nvSpPr>
        <xdr:cNvPr id="28" name="Rectangle 27">
          <a:hlinkClick xmlns:r="http://schemas.openxmlformats.org/officeDocument/2006/relationships" r:id="rId1"/>
          <a:extLst>
            <a:ext uri="{FF2B5EF4-FFF2-40B4-BE49-F238E27FC236}">
              <a16:creationId xmlns:a16="http://schemas.microsoft.com/office/drawing/2014/main" id="{00000000-0008-0000-0100-00001C000000}"/>
            </a:ext>
          </a:extLst>
        </xdr:cNvPr>
        <xdr:cNvSpPr/>
      </xdr:nvSpPr>
      <xdr:spPr>
        <a:xfrm>
          <a:off x="127000" y="533402"/>
          <a:ext cx="844126"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Main Menu</a:t>
          </a:r>
        </a:p>
      </xdr:txBody>
    </xdr:sp>
    <xdr:clientData/>
  </xdr:twoCellAnchor>
  <xdr:twoCellAnchor>
    <xdr:from>
      <xdr:col>3</xdr:col>
      <xdr:colOff>1671542</xdr:colOff>
      <xdr:row>2</xdr:row>
      <xdr:rowOff>50802</xdr:rowOff>
    </xdr:from>
    <xdr:to>
      <xdr:col>7</xdr:col>
      <xdr:colOff>161322</xdr:colOff>
      <xdr:row>2</xdr:row>
      <xdr:rowOff>313269</xdr:rowOff>
    </xdr:to>
    <xdr:sp macro="" textlink="">
      <xdr:nvSpPr>
        <xdr:cNvPr id="29" name="Rectangle 28">
          <a:hlinkClick xmlns:r="http://schemas.openxmlformats.org/officeDocument/2006/relationships" r:id="rId2"/>
          <a:extLst>
            <a:ext uri="{FF2B5EF4-FFF2-40B4-BE49-F238E27FC236}">
              <a16:creationId xmlns:a16="http://schemas.microsoft.com/office/drawing/2014/main" id="{00000000-0008-0000-0100-00001D000000}"/>
            </a:ext>
          </a:extLst>
        </xdr:cNvPr>
        <xdr:cNvSpPr/>
      </xdr:nvSpPr>
      <xdr:spPr>
        <a:xfrm>
          <a:off x="2391209" y="533402"/>
          <a:ext cx="1707113" cy="262467"/>
        </a:xfrm>
        <a:prstGeom prst="rect">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Compostable</a:t>
          </a:r>
          <a:r>
            <a:rPr lang="en-US" sz="1100" u="sng" baseline="0"/>
            <a:t> Cup Scenario</a:t>
          </a:r>
          <a:endParaRPr lang="en-US" sz="1100" u="sng"/>
        </a:p>
      </xdr:txBody>
    </xdr:sp>
    <xdr:clientData/>
  </xdr:twoCellAnchor>
  <xdr:twoCellAnchor>
    <xdr:from>
      <xdr:col>10</xdr:col>
      <xdr:colOff>686477</xdr:colOff>
      <xdr:row>2</xdr:row>
      <xdr:rowOff>50802</xdr:rowOff>
    </xdr:from>
    <xdr:to>
      <xdr:col>10</xdr:col>
      <xdr:colOff>2236345</xdr:colOff>
      <xdr:row>2</xdr:row>
      <xdr:rowOff>313269</xdr:rowOff>
    </xdr:to>
    <xdr:sp macro="" textlink="">
      <xdr:nvSpPr>
        <xdr:cNvPr id="30" name="Rectangle 29">
          <a:hlinkClick xmlns:r="http://schemas.openxmlformats.org/officeDocument/2006/relationships" r:id="rId3"/>
          <a:extLst>
            <a:ext uri="{FF2B5EF4-FFF2-40B4-BE49-F238E27FC236}">
              <a16:creationId xmlns:a16="http://schemas.microsoft.com/office/drawing/2014/main" id="{00000000-0008-0000-0100-00001E000000}"/>
            </a:ext>
          </a:extLst>
        </xdr:cNvPr>
        <xdr:cNvSpPr/>
      </xdr:nvSpPr>
      <xdr:spPr>
        <a:xfrm>
          <a:off x="5791877" y="533402"/>
          <a:ext cx="1549868"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Reusable</a:t>
          </a:r>
          <a:r>
            <a:rPr lang="en-US" sz="1100" u="sng" baseline="0">
              <a:solidFill>
                <a:schemeClr val="bg1"/>
              </a:solidFill>
            </a:rPr>
            <a:t> Mug Scenario</a:t>
          </a:r>
          <a:endParaRPr lang="en-US" sz="1100" u="sng">
            <a:solidFill>
              <a:schemeClr val="bg1"/>
            </a:solidFill>
          </a:endParaRPr>
        </a:p>
      </xdr:txBody>
    </xdr:sp>
    <xdr:clientData/>
  </xdr:twoCellAnchor>
  <xdr:twoCellAnchor>
    <xdr:from>
      <xdr:col>18</xdr:col>
      <xdr:colOff>979135</xdr:colOff>
      <xdr:row>2</xdr:row>
      <xdr:rowOff>50802</xdr:rowOff>
    </xdr:from>
    <xdr:to>
      <xdr:col>19</xdr:col>
      <xdr:colOff>122546</xdr:colOff>
      <xdr:row>2</xdr:row>
      <xdr:rowOff>313269</xdr:rowOff>
    </xdr:to>
    <xdr:sp macro="" textlink="">
      <xdr:nvSpPr>
        <xdr:cNvPr id="31" name="Rectangle 30">
          <a:hlinkClick xmlns:r="http://schemas.openxmlformats.org/officeDocument/2006/relationships" r:id="rId4"/>
          <a:extLst>
            <a:ext uri="{FF2B5EF4-FFF2-40B4-BE49-F238E27FC236}">
              <a16:creationId xmlns:a16="http://schemas.microsoft.com/office/drawing/2014/main" id="{00000000-0008-0000-0100-00001F000000}"/>
            </a:ext>
          </a:extLst>
        </xdr:cNvPr>
        <xdr:cNvSpPr/>
      </xdr:nvSpPr>
      <xdr:spPr>
        <a:xfrm>
          <a:off x="12036602" y="533402"/>
          <a:ext cx="811344"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Dashboard</a:t>
          </a:r>
        </a:p>
      </xdr:txBody>
    </xdr:sp>
    <xdr:clientData/>
  </xdr:twoCellAnchor>
  <xdr:twoCellAnchor>
    <xdr:from>
      <xdr:col>22</xdr:col>
      <xdr:colOff>190502</xdr:colOff>
      <xdr:row>2</xdr:row>
      <xdr:rowOff>50802</xdr:rowOff>
    </xdr:from>
    <xdr:to>
      <xdr:col>23</xdr:col>
      <xdr:colOff>201507</xdr:colOff>
      <xdr:row>2</xdr:row>
      <xdr:rowOff>313269</xdr:rowOff>
    </xdr:to>
    <xdr:sp macro="" textlink="">
      <xdr:nvSpPr>
        <xdr:cNvPr id="32" name="Rectangle 31">
          <a:hlinkClick xmlns:r="http://schemas.openxmlformats.org/officeDocument/2006/relationships" r:id="rId5"/>
          <a:extLst>
            <a:ext uri="{FF2B5EF4-FFF2-40B4-BE49-F238E27FC236}">
              <a16:creationId xmlns:a16="http://schemas.microsoft.com/office/drawing/2014/main" id="{00000000-0008-0000-0100-000020000000}"/>
            </a:ext>
          </a:extLst>
        </xdr:cNvPr>
        <xdr:cNvSpPr/>
      </xdr:nvSpPr>
      <xdr:spPr>
        <a:xfrm>
          <a:off x="14541502" y="533402"/>
          <a:ext cx="620605"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Metrics</a:t>
          </a:r>
        </a:p>
      </xdr:txBody>
    </xdr:sp>
    <xdr:clientData/>
  </xdr:twoCellAnchor>
  <xdr:twoCellAnchor>
    <xdr:from>
      <xdr:col>13</xdr:col>
      <xdr:colOff>467033</xdr:colOff>
      <xdr:row>2</xdr:row>
      <xdr:rowOff>50802</xdr:rowOff>
    </xdr:from>
    <xdr:to>
      <xdr:col>15</xdr:col>
      <xdr:colOff>191514</xdr:colOff>
      <xdr:row>2</xdr:row>
      <xdr:rowOff>313269</xdr:rowOff>
    </xdr:to>
    <xdr:sp macro="" textlink="">
      <xdr:nvSpPr>
        <xdr:cNvPr id="33" name="Rectangle 32">
          <a:hlinkClick xmlns:r="http://schemas.openxmlformats.org/officeDocument/2006/relationships" r:id="rId6"/>
          <a:extLst>
            <a:ext uri="{FF2B5EF4-FFF2-40B4-BE49-F238E27FC236}">
              <a16:creationId xmlns:a16="http://schemas.microsoft.com/office/drawing/2014/main" id="{00000000-0008-0000-0100-000021000000}"/>
            </a:ext>
          </a:extLst>
        </xdr:cNvPr>
        <xdr:cNvSpPr/>
      </xdr:nvSpPr>
      <xdr:spPr>
        <a:xfrm>
          <a:off x="9035300" y="533402"/>
          <a:ext cx="1307747"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Combined</a:t>
          </a:r>
          <a:r>
            <a:rPr lang="en-US" sz="1100" u="sng" baseline="0">
              <a:solidFill>
                <a:schemeClr val="bg1">
                  <a:lumMod val="95000"/>
                </a:schemeClr>
              </a:solidFill>
            </a:rPr>
            <a:t> Scenario</a:t>
          </a:r>
          <a:endParaRPr lang="en-US" sz="1100" u="sng">
            <a:solidFill>
              <a:schemeClr val="bg1">
                <a:lumMod val="95000"/>
              </a:schemeClr>
            </a:solidFill>
          </a:endParaRPr>
        </a:p>
      </xdr:txBody>
    </xdr:sp>
    <xdr:clientData/>
  </xdr:twoCellAnchor>
  <mc:AlternateContent xmlns:mc="http://schemas.openxmlformats.org/markup-compatibility/2006">
    <mc:Choice xmlns:a14="http://schemas.microsoft.com/office/drawing/2010/main" Requires="a14">
      <xdr:twoCellAnchor>
        <xdr:from>
          <xdr:col>18</xdr:col>
          <xdr:colOff>438150</xdr:colOff>
          <xdr:row>13</xdr:row>
          <xdr:rowOff>95250</xdr:rowOff>
        </xdr:from>
        <xdr:to>
          <xdr:col>19</xdr:col>
          <xdr:colOff>209550</xdr:colOff>
          <xdr:row>15</xdr:row>
          <xdr:rowOff>95250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Reload</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601980</xdr:colOff>
      <xdr:row>12</xdr:row>
      <xdr:rowOff>30480</xdr:rowOff>
    </xdr:from>
    <xdr:to>
      <xdr:col>11</xdr:col>
      <xdr:colOff>601980</xdr:colOff>
      <xdr:row>12</xdr:row>
      <xdr:rowOff>175260</xdr:rowOff>
    </xdr:to>
    <xdr:cxnSp macro="">
      <xdr:nvCxnSpPr>
        <xdr:cNvPr id="3" name="Straight Arrow Connector 2">
          <a:extLst>
            <a:ext uri="{FF2B5EF4-FFF2-40B4-BE49-F238E27FC236}">
              <a16:creationId xmlns:a16="http://schemas.microsoft.com/office/drawing/2014/main" id="{00000000-0008-0000-0200-000003000000}"/>
            </a:ext>
          </a:extLst>
        </xdr:cNvPr>
        <xdr:cNvCxnSpPr/>
      </xdr:nvCxnSpPr>
      <xdr:spPr>
        <a:xfrm flipH="1">
          <a:off x="7722447" y="2426547"/>
          <a:ext cx="0" cy="14478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32004</xdr:colOff>
      <xdr:row>10</xdr:row>
      <xdr:rowOff>101600</xdr:rowOff>
    </xdr:from>
    <xdr:to>
      <xdr:col>12</xdr:col>
      <xdr:colOff>350520</xdr:colOff>
      <xdr:row>10</xdr:row>
      <xdr:rowOff>101600</xdr:rowOff>
    </xdr:to>
    <xdr:cxnSp macro="">
      <xdr:nvCxnSpPr>
        <xdr:cNvPr id="4" name="Straight Arrow Connector 3">
          <a:extLst>
            <a:ext uri="{FF2B5EF4-FFF2-40B4-BE49-F238E27FC236}">
              <a16:creationId xmlns:a16="http://schemas.microsoft.com/office/drawing/2014/main" id="{00000000-0008-0000-0200-000004000000}"/>
            </a:ext>
          </a:extLst>
        </xdr:cNvPr>
        <xdr:cNvCxnSpPr/>
      </xdr:nvCxnSpPr>
      <xdr:spPr>
        <a:xfrm>
          <a:off x="7956804" y="2116667"/>
          <a:ext cx="318516"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144780</xdr:colOff>
      <xdr:row>6</xdr:row>
      <xdr:rowOff>114300</xdr:rowOff>
    </xdr:from>
    <xdr:to>
      <xdr:col>9</xdr:col>
      <xdr:colOff>259080</xdr:colOff>
      <xdr:row>6</xdr:row>
      <xdr:rowOff>114300</xdr:rowOff>
    </xdr:to>
    <xdr:cxnSp macro="">
      <xdr:nvCxnSpPr>
        <xdr:cNvPr id="5" name="Straight Arrow Connector 4">
          <a:extLst>
            <a:ext uri="{FF2B5EF4-FFF2-40B4-BE49-F238E27FC236}">
              <a16:creationId xmlns:a16="http://schemas.microsoft.com/office/drawing/2014/main" id="{00000000-0008-0000-0200-000005000000}"/>
            </a:ext>
          </a:extLst>
        </xdr:cNvPr>
        <xdr:cNvCxnSpPr/>
      </xdr:nvCxnSpPr>
      <xdr:spPr>
        <a:xfrm>
          <a:off x="3438313" y="1519767"/>
          <a:ext cx="1562100"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8467</xdr:colOff>
      <xdr:row>2</xdr:row>
      <xdr:rowOff>50802</xdr:rowOff>
    </xdr:from>
    <xdr:to>
      <xdr:col>3</xdr:col>
      <xdr:colOff>251459</xdr:colOff>
      <xdr:row>2</xdr:row>
      <xdr:rowOff>313269</xdr:rowOff>
    </xdr:to>
    <xdr:sp macro="" textlink="">
      <xdr:nvSpPr>
        <xdr:cNvPr id="31" name="Rectangle 30">
          <a:hlinkClick xmlns:r="http://schemas.openxmlformats.org/officeDocument/2006/relationships" r:id="rId1"/>
          <a:extLst>
            <a:ext uri="{FF2B5EF4-FFF2-40B4-BE49-F238E27FC236}">
              <a16:creationId xmlns:a16="http://schemas.microsoft.com/office/drawing/2014/main" id="{00000000-0008-0000-0200-00001F000000}"/>
            </a:ext>
          </a:extLst>
        </xdr:cNvPr>
        <xdr:cNvSpPr/>
      </xdr:nvSpPr>
      <xdr:spPr>
        <a:xfrm>
          <a:off x="127000" y="533402"/>
          <a:ext cx="844126"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Main Menu</a:t>
          </a:r>
        </a:p>
      </xdr:txBody>
    </xdr:sp>
    <xdr:clientData/>
  </xdr:twoCellAnchor>
  <xdr:twoCellAnchor>
    <xdr:from>
      <xdr:col>3</xdr:col>
      <xdr:colOff>1671542</xdr:colOff>
      <xdr:row>2</xdr:row>
      <xdr:rowOff>50802</xdr:rowOff>
    </xdr:from>
    <xdr:to>
      <xdr:col>7</xdr:col>
      <xdr:colOff>195189</xdr:colOff>
      <xdr:row>2</xdr:row>
      <xdr:rowOff>313269</xdr:rowOff>
    </xdr:to>
    <xdr:sp macro="" textlink="">
      <xdr:nvSpPr>
        <xdr:cNvPr id="32" name="Rectangle 31">
          <a:hlinkClick xmlns:r="http://schemas.openxmlformats.org/officeDocument/2006/relationships" r:id="rId2"/>
          <a:extLst>
            <a:ext uri="{FF2B5EF4-FFF2-40B4-BE49-F238E27FC236}">
              <a16:creationId xmlns:a16="http://schemas.microsoft.com/office/drawing/2014/main" id="{00000000-0008-0000-0200-000020000000}"/>
            </a:ext>
          </a:extLst>
        </xdr:cNvPr>
        <xdr:cNvSpPr/>
      </xdr:nvSpPr>
      <xdr:spPr>
        <a:xfrm>
          <a:off x="2391209" y="533402"/>
          <a:ext cx="1707113"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Compostable</a:t>
          </a:r>
          <a:r>
            <a:rPr lang="en-US" sz="1100" u="sng" baseline="0"/>
            <a:t> Cup Scenario</a:t>
          </a:r>
          <a:endParaRPr lang="en-US" sz="1100" u="sng"/>
        </a:p>
      </xdr:txBody>
    </xdr:sp>
    <xdr:clientData/>
  </xdr:twoCellAnchor>
  <xdr:twoCellAnchor>
    <xdr:from>
      <xdr:col>10</xdr:col>
      <xdr:colOff>745744</xdr:colOff>
      <xdr:row>2</xdr:row>
      <xdr:rowOff>50802</xdr:rowOff>
    </xdr:from>
    <xdr:to>
      <xdr:col>11</xdr:col>
      <xdr:colOff>221278</xdr:colOff>
      <xdr:row>2</xdr:row>
      <xdr:rowOff>313269</xdr:rowOff>
    </xdr:to>
    <xdr:sp macro="" textlink="">
      <xdr:nvSpPr>
        <xdr:cNvPr id="33" name="Rectangle 32">
          <a:hlinkClick xmlns:r="http://schemas.openxmlformats.org/officeDocument/2006/relationships" r:id="rId3"/>
          <a:extLst>
            <a:ext uri="{FF2B5EF4-FFF2-40B4-BE49-F238E27FC236}">
              <a16:creationId xmlns:a16="http://schemas.microsoft.com/office/drawing/2014/main" id="{00000000-0008-0000-0200-000021000000}"/>
            </a:ext>
          </a:extLst>
        </xdr:cNvPr>
        <xdr:cNvSpPr/>
      </xdr:nvSpPr>
      <xdr:spPr>
        <a:xfrm>
          <a:off x="5791877" y="533402"/>
          <a:ext cx="1549868" cy="262467"/>
        </a:xfrm>
        <a:prstGeom prst="rect">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Reusable</a:t>
          </a:r>
          <a:r>
            <a:rPr lang="en-US" sz="1100" u="sng" baseline="0">
              <a:solidFill>
                <a:schemeClr val="bg1"/>
              </a:solidFill>
            </a:rPr>
            <a:t> Mug Scenario</a:t>
          </a:r>
          <a:endParaRPr lang="en-US" sz="1100" u="sng">
            <a:solidFill>
              <a:schemeClr val="bg1"/>
            </a:solidFill>
          </a:endParaRPr>
        </a:p>
      </xdr:txBody>
    </xdr:sp>
    <xdr:clientData/>
  </xdr:twoCellAnchor>
  <xdr:twoCellAnchor>
    <xdr:from>
      <xdr:col>18</xdr:col>
      <xdr:colOff>361069</xdr:colOff>
      <xdr:row>2</xdr:row>
      <xdr:rowOff>50802</xdr:rowOff>
    </xdr:from>
    <xdr:to>
      <xdr:col>18</xdr:col>
      <xdr:colOff>1172413</xdr:colOff>
      <xdr:row>2</xdr:row>
      <xdr:rowOff>313269</xdr:rowOff>
    </xdr:to>
    <xdr:sp macro="" textlink="">
      <xdr:nvSpPr>
        <xdr:cNvPr id="34" name="Rectangle 33">
          <a:hlinkClick xmlns:r="http://schemas.openxmlformats.org/officeDocument/2006/relationships" r:id="rId4"/>
          <a:extLst>
            <a:ext uri="{FF2B5EF4-FFF2-40B4-BE49-F238E27FC236}">
              <a16:creationId xmlns:a16="http://schemas.microsoft.com/office/drawing/2014/main" id="{00000000-0008-0000-0200-000022000000}"/>
            </a:ext>
          </a:extLst>
        </xdr:cNvPr>
        <xdr:cNvSpPr/>
      </xdr:nvSpPr>
      <xdr:spPr>
        <a:xfrm>
          <a:off x="12036602" y="533402"/>
          <a:ext cx="811344"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Dashboard</a:t>
          </a:r>
        </a:p>
      </xdr:txBody>
    </xdr:sp>
    <xdr:clientData/>
  </xdr:twoCellAnchor>
  <xdr:twoCellAnchor>
    <xdr:from>
      <xdr:col>21</xdr:col>
      <xdr:colOff>29635</xdr:colOff>
      <xdr:row>2</xdr:row>
      <xdr:rowOff>50802</xdr:rowOff>
    </xdr:from>
    <xdr:to>
      <xdr:col>22</xdr:col>
      <xdr:colOff>345440</xdr:colOff>
      <xdr:row>2</xdr:row>
      <xdr:rowOff>313269</xdr:rowOff>
    </xdr:to>
    <xdr:sp macro="" textlink="">
      <xdr:nvSpPr>
        <xdr:cNvPr id="35" name="Rectangle 34">
          <a:hlinkClick xmlns:r="http://schemas.openxmlformats.org/officeDocument/2006/relationships" r:id="rId5"/>
          <a:extLst>
            <a:ext uri="{FF2B5EF4-FFF2-40B4-BE49-F238E27FC236}">
              <a16:creationId xmlns:a16="http://schemas.microsoft.com/office/drawing/2014/main" id="{00000000-0008-0000-0200-000023000000}"/>
            </a:ext>
          </a:extLst>
        </xdr:cNvPr>
        <xdr:cNvSpPr/>
      </xdr:nvSpPr>
      <xdr:spPr>
        <a:xfrm>
          <a:off x="14541502" y="533402"/>
          <a:ext cx="620605"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Metrics</a:t>
          </a:r>
        </a:p>
      </xdr:txBody>
    </xdr:sp>
    <xdr:clientData/>
  </xdr:twoCellAnchor>
  <xdr:twoCellAnchor>
    <xdr:from>
      <xdr:col>13</xdr:col>
      <xdr:colOff>729500</xdr:colOff>
      <xdr:row>2</xdr:row>
      <xdr:rowOff>50802</xdr:rowOff>
    </xdr:from>
    <xdr:to>
      <xdr:col>14</xdr:col>
      <xdr:colOff>386247</xdr:colOff>
      <xdr:row>2</xdr:row>
      <xdr:rowOff>313269</xdr:rowOff>
    </xdr:to>
    <xdr:sp macro="" textlink="">
      <xdr:nvSpPr>
        <xdr:cNvPr id="36" name="Rectangle 35">
          <a:hlinkClick xmlns:r="http://schemas.openxmlformats.org/officeDocument/2006/relationships" r:id="rId6"/>
          <a:extLst>
            <a:ext uri="{FF2B5EF4-FFF2-40B4-BE49-F238E27FC236}">
              <a16:creationId xmlns:a16="http://schemas.microsoft.com/office/drawing/2014/main" id="{00000000-0008-0000-0200-000024000000}"/>
            </a:ext>
          </a:extLst>
        </xdr:cNvPr>
        <xdr:cNvSpPr/>
      </xdr:nvSpPr>
      <xdr:spPr>
        <a:xfrm>
          <a:off x="9035300" y="533402"/>
          <a:ext cx="1307747"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Combined</a:t>
          </a:r>
          <a:r>
            <a:rPr lang="en-US" sz="1100" u="sng" baseline="0">
              <a:solidFill>
                <a:schemeClr val="bg1">
                  <a:lumMod val="95000"/>
                </a:schemeClr>
              </a:solidFill>
            </a:rPr>
            <a:t> Scenario</a:t>
          </a:r>
          <a:endParaRPr lang="en-US" sz="1100" u="sng">
            <a:solidFill>
              <a:schemeClr val="bg1">
                <a:lumMod val="95000"/>
              </a:schemeClr>
            </a:solidFill>
          </a:endParaRPr>
        </a:p>
      </xdr:txBody>
    </xdr:sp>
    <xdr:clientData/>
  </xdr:twoCellAnchor>
  <mc:AlternateContent xmlns:mc="http://schemas.openxmlformats.org/markup-compatibility/2006">
    <mc:Choice xmlns:a14="http://schemas.microsoft.com/office/drawing/2010/main" Requires="a14">
      <xdr:twoCellAnchor>
        <xdr:from>
          <xdr:col>18</xdr:col>
          <xdr:colOff>485775</xdr:colOff>
          <xdr:row>13</xdr:row>
          <xdr:rowOff>95250</xdr:rowOff>
        </xdr:from>
        <xdr:to>
          <xdr:col>19</xdr:col>
          <xdr:colOff>257175</xdr:colOff>
          <xdr:row>15</xdr:row>
          <xdr:rowOff>95250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Reload</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601980</xdr:colOff>
      <xdr:row>12</xdr:row>
      <xdr:rowOff>30480</xdr:rowOff>
    </xdr:from>
    <xdr:to>
      <xdr:col>11</xdr:col>
      <xdr:colOff>601980</xdr:colOff>
      <xdr:row>12</xdr:row>
      <xdr:rowOff>175260</xdr:rowOff>
    </xdr:to>
    <xdr:cxnSp macro="">
      <xdr:nvCxnSpPr>
        <xdr:cNvPr id="2" name="Straight Arrow Connector 1">
          <a:extLst>
            <a:ext uri="{FF2B5EF4-FFF2-40B4-BE49-F238E27FC236}">
              <a16:creationId xmlns:a16="http://schemas.microsoft.com/office/drawing/2014/main" id="{00000000-0008-0000-0300-000002000000}"/>
            </a:ext>
          </a:extLst>
        </xdr:cNvPr>
        <xdr:cNvCxnSpPr/>
      </xdr:nvCxnSpPr>
      <xdr:spPr>
        <a:xfrm flipH="1">
          <a:off x="7697047" y="2646680"/>
          <a:ext cx="0" cy="14478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32004</xdr:colOff>
      <xdr:row>10</xdr:row>
      <xdr:rowOff>101600</xdr:rowOff>
    </xdr:from>
    <xdr:to>
      <xdr:col>12</xdr:col>
      <xdr:colOff>350520</xdr:colOff>
      <xdr:row>10</xdr:row>
      <xdr:rowOff>101600</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a:off x="7922937" y="2336800"/>
          <a:ext cx="318516"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186267</xdr:colOff>
      <xdr:row>15</xdr:row>
      <xdr:rowOff>106679</xdr:rowOff>
    </xdr:from>
    <xdr:to>
      <xdr:col>12</xdr:col>
      <xdr:colOff>359833</xdr:colOff>
      <xdr:row>15</xdr:row>
      <xdr:rowOff>106679</xdr:rowOff>
    </xdr:to>
    <xdr:cxnSp macro="">
      <xdr:nvCxnSpPr>
        <xdr:cNvPr id="4" name="Straight Arrow Connector 3">
          <a:extLst>
            <a:ext uri="{FF2B5EF4-FFF2-40B4-BE49-F238E27FC236}">
              <a16:creationId xmlns:a16="http://schemas.microsoft.com/office/drawing/2014/main" id="{00000000-0008-0000-0300-000004000000}"/>
            </a:ext>
          </a:extLst>
        </xdr:cNvPr>
        <xdr:cNvCxnSpPr/>
      </xdr:nvCxnSpPr>
      <xdr:spPr>
        <a:xfrm>
          <a:off x="8077200" y="3307079"/>
          <a:ext cx="173566"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59267</xdr:colOff>
      <xdr:row>11</xdr:row>
      <xdr:rowOff>93134</xdr:rowOff>
    </xdr:from>
    <xdr:to>
      <xdr:col>12</xdr:col>
      <xdr:colOff>186267</xdr:colOff>
      <xdr:row>11</xdr:row>
      <xdr:rowOff>93134</xdr:rowOff>
    </xdr:to>
    <xdr:cxnSp macro="">
      <xdr:nvCxnSpPr>
        <xdr:cNvPr id="7" name="Straight Connector 6">
          <a:extLst>
            <a:ext uri="{FF2B5EF4-FFF2-40B4-BE49-F238E27FC236}">
              <a16:creationId xmlns:a16="http://schemas.microsoft.com/office/drawing/2014/main" id="{00000000-0008-0000-0300-000007000000}"/>
            </a:ext>
          </a:extLst>
        </xdr:cNvPr>
        <xdr:cNvCxnSpPr/>
      </xdr:nvCxnSpPr>
      <xdr:spPr>
        <a:xfrm>
          <a:off x="7950200" y="2523067"/>
          <a:ext cx="127000" cy="0"/>
        </a:xfrm>
        <a:prstGeom prst="line">
          <a:avLst/>
        </a:prstGeom>
        <a:ln w="127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194734</xdr:colOff>
      <xdr:row>11</xdr:row>
      <xdr:rowOff>84667</xdr:rowOff>
    </xdr:from>
    <xdr:to>
      <xdr:col>12</xdr:col>
      <xdr:colOff>194734</xdr:colOff>
      <xdr:row>15</xdr:row>
      <xdr:rowOff>110066</xdr:rowOff>
    </xdr:to>
    <xdr:cxnSp macro="">
      <xdr:nvCxnSpPr>
        <xdr:cNvPr id="8" name="Straight Connector 7">
          <a:extLst>
            <a:ext uri="{FF2B5EF4-FFF2-40B4-BE49-F238E27FC236}">
              <a16:creationId xmlns:a16="http://schemas.microsoft.com/office/drawing/2014/main" id="{00000000-0008-0000-0300-000008000000}"/>
            </a:ext>
          </a:extLst>
        </xdr:cNvPr>
        <xdr:cNvCxnSpPr/>
      </xdr:nvCxnSpPr>
      <xdr:spPr>
        <a:xfrm flipV="1">
          <a:off x="8085667" y="2514600"/>
          <a:ext cx="0" cy="795866"/>
        </a:xfrm>
        <a:prstGeom prst="line">
          <a:avLst/>
        </a:prstGeom>
        <a:ln w="12700">
          <a:solidFill>
            <a:schemeClr val="tx1">
              <a:lumMod val="65000"/>
              <a:lumOff val="3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121920</xdr:colOff>
      <xdr:row>6</xdr:row>
      <xdr:rowOff>106680</xdr:rowOff>
    </xdr:from>
    <xdr:to>
      <xdr:col>9</xdr:col>
      <xdr:colOff>228600</xdr:colOff>
      <xdr:row>6</xdr:row>
      <xdr:rowOff>106680</xdr:rowOff>
    </xdr:to>
    <xdr:cxnSp macro="">
      <xdr:nvCxnSpPr>
        <xdr:cNvPr id="9" name="Straight Arrow Connector 8">
          <a:extLst>
            <a:ext uri="{FF2B5EF4-FFF2-40B4-BE49-F238E27FC236}">
              <a16:creationId xmlns:a16="http://schemas.microsoft.com/office/drawing/2014/main" id="{00000000-0008-0000-0300-000009000000}"/>
            </a:ext>
          </a:extLst>
        </xdr:cNvPr>
        <xdr:cNvCxnSpPr/>
      </xdr:nvCxnSpPr>
      <xdr:spPr>
        <a:xfrm>
          <a:off x="3364653" y="1512147"/>
          <a:ext cx="1579880" cy="0"/>
        </a:xfrm>
        <a:prstGeom prst="straightConnector1">
          <a:avLst/>
        </a:prstGeom>
        <a:ln w="12700">
          <a:solidFill>
            <a:schemeClr val="bg2">
              <a:lumMod val="5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8467</xdr:colOff>
      <xdr:row>2</xdr:row>
      <xdr:rowOff>50802</xdr:rowOff>
    </xdr:from>
    <xdr:to>
      <xdr:col>3</xdr:col>
      <xdr:colOff>251459</xdr:colOff>
      <xdr:row>2</xdr:row>
      <xdr:rowOff>313269</xdr:rowOff>
    </xdr:to>
    <xdr:sp macro="" textlink="">
      <xdr:nvSpPr>
        <xdr:cNvPr id="34" name="Rectangle 33">
          <a:hlinkClick xmlns:r="http://schemas.openxmlformats.org/officeDocument/2006/relationships" r:id="rId1"/>
          <a:extLst>
            <a:ext uri="{FF2B5EF4-FFF2-40B4-BE49-F238E27FC236}">
              <a16:creationId xmlns:a16="http://schemas.microsoft.com/office/drawing/2014/main" id="{00000000-0008-0000-0300-000022000000}"/>
            </a:ext>
          </a:extLst>
        </xdr:cNvPr>
        <xdr:cNvSpPr/>
      </xdr:nvSpPr>
      <xdr:spPr>
        <a:xfrm>
          <a:off x="127000" y="533402"/>
          <a:ext cx="844126"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Main Menu</a:t>
          </a:r>
        </a:p>
      </xdr:txBody>
    </xdr:sp>
    <xdr:clientData/>
  </xdr:twoCellAnchor>
  <xdr:twoCellAnchor>
    <xdr:from>
      <xdr:col>3</xdr:col>
      <xdr:colOff>1671542</xdr:colOff>
      <xdr:row>2</xdr:row>
      <xdr:rowOff>50802</xdr:rowOff>
    </xdr:from>
    <xdr:to>
      <xdr:col>7</xdr:col>
      <xdr:colOff>245989</xdr:colOff>
      <xdr:row>2</xdr:row>
      <xdr:rowOff>313269</xdr:rowOff>
    </xdr:to>
    <xdr:sp macro="" textlink="">
      <xdr:nvSpPr>
        <xdr:cNvPr id="35" name="Rectangle 34">
          <a:hlinkClick xmlns:r="http://schemas.openxmlformats.org/officeDocument/2006/relationships" r:id="rId2"/>
          <a:extLst>
            <a:ext uri="{FF2B5EF4-FFF2-40B4-BE49-F238E27FC236}">
              <a16:creationId xmlns:a16="http://schemas.microsoft.com/office/drawing/2014/main" id="{00000000-0008-0000-0300-000023000000}"/>
            </a:ext>
          </a:extLst>
        </xdr:cNvPr>
        <xdr:cNvSpPr/>
      </xdr:nvSpPr>
      <xdr:spPr>
        <a:xfrm>
          <a:off x="2391209" y="533402"/>
          <a:ext cx="1707113"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Compostable</a:t>
          </a:r>
          <a:r>
            <a:rPr lang="en-US" sz="1100" u="sng" baseline="0"/>
            <a:t> Cup Scenario</a:t>
          </a:r>
          <a:endParaRPr lang="en-US" sz="1100" u="sng"/>
        </a:p>
      </xdr:txBody>
    </xdr:sp>
    <xdr:clientData/>
  </xdr:twoCellAnchor>
  <xdr:twoCellAnchor>
    <xdr:from>
      <xdr:col>10</xdr:col>
      <xdr:colOff>771144</xdr:colOff>
      <xdr:row>2</xdr:row>
      <xdr:rowOff>50802</xdr:rowOff>
    </xdr:from>
    <xdr:to>
      <xdr:col>11</xdr:col>
      <xdr:colOff>246678</xdr:colOff>
      <xdr:row>2</xdr:row>
      <xdr:rowOff>313269</xdr:rowOff>
    </xdr:to>
    <xdr:sp macro="" textlink="">
      <xdr:nvSpPr>
        <xdr:cNvPr id="36" name="Rectangle 35">
          <a:hlinkClick xmlns:r="http://schemas.openxmlformats.org/officeDocument/2006/relationships" r:id="rId3"/>
          <a:extLst>
            <a:ext uri="{FF2B5EF4-FFF2-40B4-BE49-F238E27FC236}">
              <a16:creationId xmlns:a16="http://schemas.microsoft.com/office/drawing/2014/main" id="{00000000-0008-0000-0300-000024000000}"/>
            </a:ext>
          </a:extLst>
        </xdr:cNvPr>
        <xdr:cNvSpPr/>
      </xdr:nvSpPr>
      <xdr:spPr>
        <a:xfrm>
          <a:off x="5791877" y="533402"/>
          <a:ext cx="1549868"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Reusable</a:t>
          </a:r>
          <a:r>
            <a:rPr lang="en-US" sz="1100" u="sng" baseline="0">
              <a:solidFill>
                <a:schemeClr val="bg1"/>
              </a:solidFill>
            </a:rPr>
            <a:t> Mug Scenario</a:t>
          </a:r>
          <a:endParaRPr lang="en-US" sz="1100" u="sng">
            <a:solidFill>
              <a:schemeClr val="bg1"/>
            </a:solidFill>
          </a:endParaRPr>
        </a:p>
      </xdr:txBody>
    </xdr:sp>
    <xdr:clientData/>
  </xdr:twoCellAnchor>
  <xdr:twoCellAnchor>
    <xdr:from>
      <xdr:col>18</xdr:col>
      <xdr:colOff>124002</xdr:colOff>
      <xdr:row>2</xdr:row>
      <xdr:rowOff>50802</xdr:rowOff>
    </xdr:from>
    <xdr:to>
      <xdr:col>18</xdr:col>
      <xdr:colOff>935346</xdr:colOff>
      <xdr:row>2</xdr:row>
      <xdr:rowOff>313269</xdr:rowOff>
    </xdr:to>
    <xdr:sp macro="" textlink="">
      <xdr:nvSpPr>
        <xdr:cNvPr id="37" name="Rectangle 36">
          <a:hlinkClick xmlns:r="http://schemas.openxmlformats.org/officeDocument/2006/relationships" r:id="rId4"/>
          <a:extLst>
            <a:ext uri="{FF2B5EF4-FFF2-40B4-BE49-F238E27FC236}">
              <a16:creationId xmlns:a16="http://schemas.microsoft.com/office/drawing/2014/main" id="{00000000-0008-0000-0300-000025000000}"/>
            </a:ext>
          </a:extLst>
        </xdr:cNvPr>
        <xdr:cNvSpPr/>
      </xdr:nvSpPr>
      <xdr:spPr>
        <a:xfrm>
          <a:off x="12036602" y="533402"/>
          <a:ext cx="811344"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Dashboard</a:t>
          </a:r>
        </a:p>
      </xdr:txBody>
    </xdr:sp>
    <xdr:clientData/>
  </xdr:twoCellAnchor>
  <xdr:twoCellAnchor>
    <xdr:from>
      <xdr:col>19</xdr:col>
      <xdr:colOff>901702</xdr:colOff>
      <xdr:row>2</xdr:row>
      <xdr:rowOff>50802</xdr:rowOff>
    </xdr:from>
    <xdr:to>
      <xdr:col>21</xdr:col>
      <xdr:colOff>6774</xdr:colOff>
      <xdr:row>2</xdr:row>
      <xdr:rowOff>313269</xdr:rowOff>
    </xdr:to>
    <xdr:sp macro="" textlink="">
      <xdr:nvSpPr>
        <xdr:cNvPr id="38" name="Rectangle 37">
          <a:hlinkClick xmlns:r="http://schemas.openxmlformats.org/officeDocument/2006/relationships" r:id="rId5"/>
          <a:extLst>
            <a:ext uri="{FF2B5EF4-FFF2-40B4-BE49-F238E27FC236}">
              <a16:creationId xmlns:a16="http://schemas.microsoft.com/office/drawing/2014/main" id="{00000000-0008-0000-0300-000026000000}"/>
            </a:ext>
          </a:extLst>
        </xdr:cNvPr>
        <xdr:cNvSpPr/>
      </xdr:nvSpPr>
      <xdr:spPr>
        <a:xfrm>
          <a:off x="14541502" y="533402"/>
          <a:ext cx="620605"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Metrics</a:t>
          </a:r>
        </a:p>
      </xdr:txBody>
    </xdr:sp>
    <xdr:clientData/>
  </xdr:twoCellAnchor>
  <xdr:twoCellAnchor>
    <xdr:from>
      <xdr:col>13</xdr:col>
      <xdr:colOff>763367</xdr:colOff>
      <xdr:row>2</xdr:row>
      <xdr:rowOff>50802</xdr:rowOff>
    </xdr:from>
    <xdr:to>
      <xdr:col>14</xdr:col>
      <xdr:colOff>149180</xdr:colOff>
      <xdr:row>2</xdr:row>
      <xdr:rowOff>313269</xdr:rowOff>
    </xdr:to>
    <xdr:sp macro="" textlink="">
      <xdr:nvSpPr>
        <xdr:cNvPr id="39" name="Rectangle 38">
          <a:hlinkClick xmlns:r="http://schemas.openxmlformats.org/officeDocument/2006/relationships" r:id="rId6"/>
          <a:extLst>
            <a:ext uri="{FF2B5EF4-FFF2-40B4-BE49-F238E27FC236}">
              <a16:creationId xmlns:a16="http://schemas.microsoft.com/office/drawing/2014/main" id="{00000000-0008-0000-0300-000027000000}"/>
            </a:ext>
          </a:extLst>
        </xdr:cNvPr>
        <xdr:cNvSpPr/>
      </xdr:nvSpPr>
      <xdr:spPr>
        <a:xfrm>
          <a:off x="9035300" y="533402"/>
          <a:ext cx="1307747" cy="262467"/>
        </a:xfrm>
        <a:prstGeom prst="rect">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Combined</a:t>
          </a:r>
          <a:r>
            <a:rPr lang="en-US" sz="1100" u="sng" baseline="0">
              <a:solidFill>
                <a:schemeClr val="bg1">
                  <a:lumMod val="95000"/>
                </a:schemeClr>
              </a:solidFill>
            </a:rPr>
            <a:t> Scenario</a:t>
          </a:r>
          <a:endParaRPr lang="en-US" sz="1100" u="sng">
            <a:solidFill>
              <a:schemeClr val="bg1">
                <a:lumMod val="95000"/>
              </a:schemeClr>
            </a:solidFill>
          </a:endParaRPr>
        </a:p>
      </xdr:txBody>
    </xdr:sp>
    <xdr:clientData/>
  </xdr:twoCellAnchor>
  <mc:AlternateContent xmlns:mc="http://schemas.openxmlformats.org/markup-compatibility/2006">
    <mc:Choice xmlns:a14="http://schemas.microsoft.com/office/drawing/2010/main" Requires="a14">
      <xdr:twoCellAnchor>
        <xdr:from>
          <xdr:col>18</xdr:col>
          <xdr:colOff>714375</xdr:colOff>
          <xdr:row>13</xdr:row>
          <xdr:rowOff>95250</xdr:rowOff>
        </xdr:from>
        <xdr:to>
          <xdr:col>19</xdr:col>
          <xdr:colOff>485775</xdr:colOff>
          <xdr:row>15</xdr:row>
          <xdr:rowOff>95250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000000"/>
                  </a:solidFill>
                  <a:latin typeface="Calibri"/>
                  <a:ea typeface="Calibri"/>
                  <a:cs typeface="Calibri"/>
                </a:rPr>
                <a:t>Reload</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13</xdr:col>
      <xdr:colOff>1384300</xdr:colOff>
      <xdr:row>28</xdr:row>
      <xdr:rowOff>0</xdr:rowOff>
    </xdr:from>
    <xdr:to>
      <xdr:col>15</xdr:col>
      <xdr:colOff>25400</xdr:colOff>
      <xdr:row>29</xdr:row>
      <xdr:rowOff>0</xdr:rowOff>
    </xdr:to>
    <xdr:pic>
      <xdr:nvPicPr>
        <xdr:cNvPr id="6" name="Graphic 5" descr="Coffee with solid fill">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4579600" y="8343900"/>
          <a:ext cx="609600" cy="596900"/>
        </a:xfrm>
        <a:prstGeom prst="rect">
          <a:avLst/>
        </a:prstGeom>
      </xdr:spPr>
    </xdr:pic>
    <xdr:clientData/>
  </xdr:twoCellAnchor>
  <xdr:twoCellAnchor editAs="oneCell">
    <xdr:from>
      <xdr:col>9</xdr:col>
      <xdr:colOff>0</xdr:colOff>
      <xdr:row>28</xdr:row>
      <xdr:rowOff>0</xdr:rowOff>
    </xdr:from>
    <xdr:to>
      <xdr:col>10</xdr:col>
      <xdr:colOff>380999</xdr:colOff>
      <xdr:row>29</xdr:row>
      <xdr:rowOff>44450</xdr:rowOff>
    </xdr:to>
    <xdr:pic>
      <xdr:nvPicPr>
        <xdr:cNvPr id="11" name="Graphic 10" descr="Coffee with solid fill">
          <a:extLst>
            <a:ext uri="{FF2B5EF4-FFF2-40B4-BE49-F238E27FC236}">
              <a16:creationId xmlns:a16="http://schemas.microsoft.com/office/drawing/2014/main" id="{00000000-0008-0000-0400-00000B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7950200" y="8343900"/>
          <a:ext cx="634999" cy="641350"/>
        </a:xfrm>
        <a:prstGeom prst="rect">
          <a:avLst/>
        </a:prstGeom>
      </xdr:spPr>
    </xdr:pic>
    <xdr:clientData/>
  </xdr:twoCellAnchor>
  <xdr:twoCellAnchor editAs="oneCell">
    <xdr:from>
      <xdr:col>6</xdr:col>
      <xdr:colOff>1422400</xdr:colOff>
      <xdr:row>28</xdr:row>
      <xdr:rowOff>0</xdr:rowOff>
    </xdr:from>
    <xdr:to>
      <xdr:col>8</xdr:col>
      <xdr:colOff>76200</xdr:colOff>
      <xdr:row>29</xdr:row>
      <xdr:rowOff>44450</xdr:rowOff>
    </xdr:to>
    <xdr:pic>
      <xdr:nvPicPr>
        <xdr:cNvPr id="14" name="Graphic 13" descr="Latte Cup with solid fill">
          <a:extLst>
            <a:ext uri="{FF2B5EF4-FFF2-40B4-BE49-F238E27FC236}">
              <a16:creationId xmlns:a16="http://schemas.microsoft.com/office/drawing/2014/main" id="{00000000-0008-0000-0400-00000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7099300" y="8343900"/>
          <a:ext cx="609600" cy="641350"/>
        </a:xfrm>
        <a:prstGeom prst="rect">
          <a:avLst/>
        </a:prstGeom>
      </xdr:spPr>
    </xdr:pic>
    <xdr:clientData/>
  </xdr:twoCellAnchor>
  <xdr:twoCellAnchor editAs="oneCell">
    <xdr:from>
      <xdr:col>2</xdr:col>
      <xdr:colOff>0</xdr:colOff>
      <xdr:row>28</xdr:row>
      <xdr:rowOff>0</xdr:rowOff>
    </xdr:from>
    <xdr:to>
      <xdr:col>3</xdr:col>
      <xdr:colOff>342900</xdr:colOff>
      <xdr:row>29</xdr:row>
      <xdr:rowOff>0</xdr:rowOff>
    </xdr:to>
    <xdr:pic>
      <xdr:nvPicPr>
        <xdr:cNvPr id="16" name="Graphic 15" descr="Latte Cup with solid fill">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444500" y="8343900"/>
          <a:ext cx="584200" cy="596900"/>
        </a:xfrm>
        <a:prstGeom prst="rect">
          <a:avLst/>
        </a:prstGeom>
      </xdr:spPr>
    </xdr:pic>
    <xdr:clientData/>
  </xdr:twoCellAnchor>
  <xdr:twoCellAnchor>
    <xdr:from>
      <xdr:col>12</xdr:col>
      <xdr:colOff>762000</xdr:colOff>
      <xdr:row>47</xdr:row>
      <xdr:rowOff>0</xdr:rowOff>
    </xdr:from>
    <xdr:to>
      <xdr:col>19</xdr:col>
      <xdr:colOff>279400</xdr:colOff>
      <xdr:row>70</xdr:row>
      <xdr:rowOff>0</xdr:rowOff>
    </xdr:to>
    <xdr:sp macro="" textlink="">
      <xdr:nvSpPr>
        <xdr:cNvPr id="12" name="TextBox 11">
          <a:extLst>
            <a:ext uri="{FF2B5EF4-FFF2-40B4-BE49-F238E27FC236}">
              <a16:creationId xmlns:a16="http://schemas.microsoft.com/office/drawing/2014/main" id="{00000000-0008-0000-0400-00000C000000}"/>
            </a:ext>
          </a:extLst>
        </xdr:cNvPr>
        <xdr:cNvSpPr txBox="1"/>
      </xdr:nvSpPr>
      <xdr:spPr>
        <a:xfrm>
          <a:off x="11493500" y="14909800"/>
          <a:ext cx="6908800" cy="4089400"/>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tx1"/>
              </a:solidFill>
            </a:rPr>
            <a:t>The </a:t>
          </a:r>
          <a:r>
            <a:rPr lang="en-US" sz="1800" baseline="0">
              <a:solidFill>
                <a:schemeClr val="tx1"/>
              </a:solidFill>
            </a:rPr>
            <a:t>chart on the left displays possible distributions of the bottom-line improvement for each scenario for the simulated year. </a:t>
          </a:r>
          <a:r>
            <a:rPr lang="en-US" sz="1800">
              <a:solidFill>
                <a:schemeClr val="tx1"/>
              </a:solidFill>
            </a:rPr>
            <a:t>The</a:t>
          </a:r>
          <a:r>
            <a:rPr lang="en-US" sz="1800" baseline="0">
              <a:solidFill>
                <a:schemeClr val="tx1"/>
              </a:solidFill>
            </a:rPr>
            <a:t> </a:t>
          </a:r>
          <a:r>
            <a:rPr lang="en-US" sz="1800" b="1" baseline="0">
              <a:solidFill>
                <a:schemeClr val="tx1"/>
              </a:solidFill>
            </a:rPr>
            <a:t>bottom-line improvement </a:t>
          </a:r>
          <a:r>
            <a:rPr lang="en-US" sz="1800" baseline="0">
              <a:solidFill>
                <a:schemeClr val="tx1"/>
              </a:solidFill>
            </a:rPr>
            <a:t>of each scenario is largely dependent upon the </a:t>
          </a:r>
          <a:r>
            <a:rPr lang="en-US" sz="1800" b="1" baseline="0">
              <a:solidFill>
                <a:schemeClr val="tx1"/>
              </a:solidFill>
            </a:rPr>
            <a:t>demand increase </a:t>
          </a:r>
          <a:r>
            <a:rPr lang="en-US" sz="1800" baseline="0">
              <a:solidFill>
                <a:schemeClr val="tx1"/>
              </a:solidFill>
            </a:rPr>
            <a:t>from </a:t>
          </a:r>
          <a:r>
            <a:rPr lang="en-US" sz="1800" b="0" baseline="0">
              <a:solidFill>
                <a:schemeClr val="tx1"/>
              </a:solidFill>
            </a:rPr>
            <a:t>implementing</a:t>
          </a:r>
          <a:r>
            <a:rPr lang="en-US" sz="1800" baseline="0">
              <a:solidFill>
                <a:schemeClr val="tx1"/>
              </a:solidFill>
            </a:rPr>
            <a:t> these new initiatives. By consequence, the </a:t>
          </a:r>
          <a:r>
            <a:rPr lang="en-US" sz="1800" b="1" baseline="0">
              <a:solidFill>
                <a:schemeClr val="tx1"/>
              </a:solidFill>
            </a:rPr>
            <a:t>distribution</a:t>
          </a:r>
          <a:r>
            <a:rPr lang="en-US" sz="1800" baseline="0">
              <a:solidFill>
                <a:schemeClr val="tx1"/>
              </a:solidFill>
            </a:rPr>
            <a:t> of simulated bottom-line improvements falls into a pattern which mimics that of the predictive demand increase table found on the "Metrics" worksheet (i.e., the four pre-set demand increase options result in essentially </a:t>
          </a:r>
          <a:r>
            <a:rPr lang="en-US" sz="1800" b="1" baseline="0">
              <a:solidFill>
                <a:schemeClr val="tx1"/>
              </a:solidFill>
            </a:rPr>
            <a:t>four bins </a:t>
          </a:r>
          <a:r>
            <a:rPr lang="en-US" sz="1800" baseline="0">
              <a:solidFill>
                <a:schemeClr val="tx1"/>
              </a:solidFill>
            </a:rPr>
            <a:t>of data distribution). Nonetheless, management should take into account the </a:t>
          </a:r>
          <a:r>
            <a:rPr lang="en-US" sz="1800" b="1" baseline="0">
              <a:solidFill>
                <a:schemeClr val="tx1"/>
              </a:solidFill>
            </a:rPr>
            <a:t>frequency</a:t>
          </a:r>
          <a:r>
            <a:rPr lang="en-US" sz="1800" baseline="0">
              <a:solidFill>
                <a:schemeClr val="tx1"/>
              </a:solidFill>
            </a:rPr>
            <a:t> measured by each bin, as it provides insight into the likelihood of each one's occurrence in the future. Special attention should be given to the direction and magnitude in which the data is </a:t>
          </a:r>
          <a:r>
            <a:rPr lang="en-US" sz="1800" b="1" baseline="0">
              <a:solidFill>
                <a:schemeClr val="tx1"/>
              </a:solidFill>
            </a:rPr>
            <a:t>skewed</a:t>
          </a:r>
          <a:r>
            <a:rPr lang="en-US" sz="1800" baseline="0">
              <a:solidFill>
                <a:schemeClr val="tx1"/>
              </a:solidFill>
            </a:rPr>
            <a:t> as well as where the </a:t>
          </a:r>
          <a:r>
            <a:rPr lang="en-US" sz="1800" b="1" baseline="0">
              <a:solidFill>
                <a:schemeClr val="tx1"/>
              </a:solidFill>
            </a:rPr>
            <a:t>median</a:t>
          </a:r>
          <a:r>
            <a:rPr lang="en-US" sz="1800" baseline="0">
              <a:solidFill>
                <a:schemeClr val="tx1"/>
              </a:solidFill>
            </a:rPr>
            <a:t> value falls.</a:t>
          </a:r>
          <a:endParaRPr lang="en-US" sz="1800">
            <a:solidFill>
              <a:schemeClr val="tx1"/>
            </a:solidFill>
          </a:endParaRPr>
        </a:p>
      </xdr:txBody>
    </xdr:sp>
    <xdr:clientData/>
  </xdr:twoCellAnchor>
  <xdr:twoCellAnchor>
    <xdr:from>
      <xdr:col>5</xdr:col>
      <xdr:colOff>1473200</xdr:colOff>
      <xdr:row>134</xdr:row>
      <xdr:rowOff>0</xdr:rowOff>
    </xdr:from>
    <xdr:to>
      <xdr:col>19</xdr:col>
      <xdr:colOff>25400</xdr:colOff>
      <xdr:row>145</xdr:row>
      <xdr:rowOff>152400</xdr:rowOff>
    </xdr:to>
    <xdr:sp macro="" textlink="">
      <xdr:nvSpPr>
        <xdr:cNvPr id="20" name="TextBox 19">
          <a:extLst>
            <a:ext uri="{FF2B5EF4-FFF2-40B4-BE49-F238E27FC236}">
              <a16:creationId xmlns:a16="http://schemas.microsoft.com/office/drawing/2014/main" id="{00000000-0008-0000-0400-000014000000}"/>
            </a:ext>
          </a:extLst>
        </xdr:cNvPr>
        <xdr:cNvSpPr txBox="1"/>
      </xdr:nvSpPr>
      <xdr:spPr>
        <a:xfrm>
          <a:off x="4686300" y="31254700"/>
          <a:ext cx="13462000" cy="2108200"/>
        </a:xfrm>
        <a:prstGeom prst="rect">
          <a:avLst/>
        </a:prstGeom>
        <a:solidFill>
          <a:schemeClr val="bg1"/>
        </a:solidFill>
        <a:ln w="28575"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tx1"/>
              </a:solidFill>
              <a:latin typeface="+mn-lt"/>
              <a:ea typeface="+mn-ea"/>
              <a:cs typeface="+mn-cs"/>
            </a:rPr>
            <a:t>These</a:t>
          </a:r>
          <a:r>
            <a:rPr lang="en-US" sz="1800" baseline="0">
              <a:solidFill>
                <a:schemeClr val="tx1"/>
              </a:solidFill>
              <a:latin typeface="+mn-lt"/>
              <a:ea typeface="+mn-ea"/>
              <a:cs typeface="+mn-cs"/>
            </a:rPr>
            <a:t> pie </a:t>
          </a:r>
          <a:r>
            <a:rPr lang="en-US" sz="1800">
              <a:solidFill>
                <a:schemeClr val="tx1"/>
              </a:solidFill>
              <a:latin typeface="+mn-lt"/>
              <a:ea typeface="+mn-ea"/>
              <a:cs typeface="+mn-cs"/>
            </a:rPr>
            <a:t>charts for compare the number of cups thrown away during the</a:t>
          </a:r>
          <a:r>
            <a:rPr lang="en-US" sz="1800" baseline="0">
              <a:solidFill>
                <a:schemeClr val="tx1"/>
              </a:solidFill>
              <a:latin typeface="+mn-lt"/>
              <a:ea typeface="+mn-ea"/>
              <a:cs typeface="+mn-cs"/>
            </a:rPr>
            <a:t> initiative</a:t>
          </a:r>
          <a:r>
            <a:rPr lang="en-US" sz="1800">
              <a:solidFill>
                <a:schemeClr val="tx1"/>
              </a:solidFill>
              <a:latin typeface="+mn-lt"/>
              <a:ea typeface="+mn-ea"/>
              <a:cs typeface="+mn-cs"/>
            </a:rPr>
            <a:t> in the simulated year to the number thrown away in the same</a:t>
          </a:r>
          <a:r>
            <a:rPr lang="en-US" sz="1800" baseline="0">
              <a:solidFill>
                <a:schemeClr val="tx1"/>
              </a:solidFill>
              <a:latin typeface="+mn-lt"/>
              <a:ea typeface="+mn-ea"/>
              <a:cs typeface="+mn-cs"/>
            </a:rPr>
            <a:t> year if there were no initiative</a:t>
          </a:r>
          <a:r>
            <a:rPr lang="en-US" sz="1800">
              <a:solidFill>
                <a:schemeClr val="tx1"/>
              </a:solidFill>
              <a:latin typeface="+mn-lt"/>
              <a:ea typeface="+mn-ea"/>
              <a:cs typeface="+mn-cs"/>
            </a:rPr>
            <a:t>. The</a:t>
          </a:r>
          <a:r>
            <a:rPr lang="en-US" sz="1800">
              <a:solidFill>
                <a:schemeClr val="tx1"/>
              </a:solidFill>
            </a:rPr>
            <a:t> charts illustrate that</a:t>
          </a:r>
          <a:r>
            <a:rPr lang="en-US" sz="1800" baseline="0">
              <a:solidFill>
                <a:schemeClr val="tx1"/>
              </a:solidFill>
            </a:rPr>
            <a:t> these initiatives are </a:t>
          </a:r>
          <a:r>
            <a:rPr lang="en-US" sz="1800" b="1" baseline="0">
              <a:solidFill>
                <a:schemeClr val="tx1"/>
              </a:solidFill>
            </a:rPr>
            <a:t>not guaranteed</a:t>
          </a:r>
          <a:r>
            <a:rPr lang="en-US" sz="1800" baseline="0">
              <a:solidFill>
                <a:schemeClr val="tx1"/>
              </a:solidFill>
            </a:rPr>
            <a:t> to be beneficial to the environment. This is because the </a:t>
          </a:r>
          <a:r>
            <a:rPr lang="en-US" sz="1800" b="1" baseline="0">
              <a:solidFill>
                <a:schemeClr val="tx1"/>
              </a:solidFill>
            </a:rPr>
            <a:t>increased demand </a:t>
          </a:r>
          <a:r>
            <a:rPr lang="en-US" sz="1800" baseline="0">
              <a:solidFill>
                <a:schemeClr val="tx1"/>
              </a:solidFill>
            </a:rPr>
            <a:t>from advertising these initiatives can </a:t>
          </a:r>
          <a:r>
            <a:rPr lang="en-US" sz="1800" b="1" baseline="0">
              <a:solidFill>
                <a:schemeClr val="tx1"/>
              </a:solidFill>
            </a:rPr>
            <a:t>outweigh</a:t>
          </a:r>
          <a:r>
            <a:rPr lang="en-US" sz="1800" baseline="0">
              <a:solidFill>
                <a:schemeClr val="tx1"/>
              </a:solidFill>
            </a:rPr>
            <a:t> the potential sustainability benefits each offers, since more cups will be needed as demand increases. Under the current scenarios, the customers brought in by these initiatives are not guaranteed to successfully compost or bring their own mug, so they are still subject to the success rates. Nonetheless, the combined scenario appears to be the </a:t>
          </a:r>
          <a:r>
            <a:rPr lang="en-US" sz="1800" b="1" u="none" baseline="0">
              <a:solidFill>
                <a:schemeClr val="tx1"/>
              </a:solidFill>
            </a:rPr>
            <a:t>most successful </a:t>
          </a:r>
          <a:r>
            <a:rPr lang="en-US" sz="1800" baseline="0">
              <a:solidFill>
                <a:schemeClr val="tx1"/>
              </a:solidFill>
            </a:rPr>
            <a:t>in terms of environmental sustainability in most situations.</a:t>
          </a:r>
          <a:endParaRPr lang="en-US" sz="1800">
            <a:solidFill>
              <a:schemeClr val="tx1"/>
            </a:solidFill>
          </a:endParaRPr>
        </a:p>
      </xdr:txBody>
    </xdr:sp>
    <xdr:clientData/>
  </xdr:twoCellAnchor>
  <xdr:twoCellAnchor editAs="oneCell">
    <xdr:from>
      <xdr:col>20</xdr:col>
      <xdr:colOff>990601</xdr:colOff>
      <xdr:row>28</xdr:row>
      <xdr:rowOff>0</xdr:rowOff>
    </xdr:from>
    <xdr:to>
      <xdr:col>22</xdr:col>
      <xdr:colOff>12699</xdr:colOff>
      <xdr:row>28</xdr:row>
      <xdr:rowOff>584199</xdr:rowOff>
    </xdr:to>
    <xdr:pic>
      <xdr:nvPicPr>
        <xdr:cNvPr id="22" name="Graphic 21" descr="Coffee with solid fill">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21577301" y="8343900"/>
          <a:ext cx="546098" cy="584199"/>
        </a:xfrm>
        <a:prstGeom prst="rect">
          <a:avLst/>
        </a:prstGeom>
      </xdr:spPr>
    </xdr:pic>
    <xdr:clientData/>
  </xdr:twoCellAnchor>
  <xdr:twoCellAnchor>
    <xdr:from>
      <xdr:col>3</xdr:col>
      <xdr:colOff>0</xdr:colOff>
      <xdr:row>109</xdr:row>
      <xdr:rowOff>0</xdr:rowOff>
    </xdr:from>
    <xdr:to>
      <xdr:col>7</xdr:col>
      <xdr:colOff>0</xdr:colOff>
      <xdr:row>130</xdr:row>
      <xdr:rowOff>0</xdr:rowOff>
    </xdr:to>
    <xdr:graphicFrame macro="">
      <xdr:nvGraphicFramePr>
        <xdr:cNvPr id="29" name="Chart 28">
          <a:extLst>
            <a:ext uri="{FF2B5EF4-FFF2-40B4-BE49-F238E27FC236}">
              <a16:creationId xmlns:a16="http://schemas.microsoft.com/office/drawing/2014/main" id="{00000000-0008-0000-0400-00001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10</xdr:col>
      <xdr:colOff>0</xdr:colOff>
      <xdr:row>109</xdr:row>
      <xdr:rowOff>25400</xdr:rowOff>
    </xdr:from>
    <xdr:to>
      <xdr:col>14</xdr:col>
      <xdr:colOff>0</xdr:colOff>
      <xdr:row>130</xdr:row>
      <xdr:rowOff>0</xdr:rowOff>
    </xdr:to>
    <xdr:graphicFrame macro="">
      <xdr:nvGraphicFramePr>
        <xdr:cNvPr id="30" name="Chart 29">
          <a:extLst>
            <a:ext uri="{FF2B5EF4-FFF2-40B4-BE49-F238E27FC236}">
              <a16:creationId xmlns:a16="http://schemas.microsoft.com/office/drawing/2014/main" id="{00000000-0008-0000-0400-00001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5</xdr:col>
      <xdr:colOff>241300</xdr:colOff>
      <xdr:row>45</xdr:row>
      <xdr:rowOff>88900</xdr:rowOff>
    </xdr:from>
    <xdr:to>
      <xdr:col>12</xdr:col>
      <xdr:colOff>241300</xdr:colOff>
      <xdr:row>72</xdr:row>
      <xdr:rowOff>88900</xdr:rowOff>
    </xdr:to>
    <mc:AlternateContent xmlns:mc="http://schemas.openxmlformats.org/markup-compatibility/2006">
      <mc:Choice xmlns:cx1="http://schemas.microsoft.com/office/drawing/2015/9/8/chartex" Requires="cx1">
        <xdr:graphicFrame macro="">
          <xdr:nvGraphicFramePr>
            <xdr:cNvPr id="26" name="Chart 25">
              <a:extLst>
                <a:ext uri="{FF2B5EF4-FFF2-40B4-BE49-F238E27FC236}">
                  <a16:creationId xmlns:a16="http://schemas.microsoft.com/office/drawing/2014/main" id="{00000000-0008-0000-0400-00001A000000}"/>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8"/>
            </a:graphicData>
          </a:graphic>
        </xdr:graphicFrame>
      </mc:Choice>
      <mc:Fallback>
        <xdr:sp macro="" textlink="">
          <xdr:nvSpPr>
            <xdr:cNvPr id="0" name=""/>
            <xdr:cNvSpPr>
              <a:spLocks noTextEdit="1"/>
            </xdr:cNvSpPr>
          </xdr:nvSpPr>
          <xdr:spPr>
            <a:xfrm>
              <a:off x="3375025" y="14614525"/>
              <a:ext cx="7334250" cy="5143500"/>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editAs="oneCell">
    <xdr:from>
      <xdr:col>15</xdr:col>
      <xdr:colOff>276860</xdr:colOff>
      <xdr:row>28</xdr:row>
      <xdr:rowOff>632</xdr:rowOff>
    </xdr:from>
    <xdr:to>
      <xdr:col>17</xdr:col>
      <xdr:colOff>292100</xdr:colOff>
      <xdr:row>28</xdr:row>
      <xdr:rowOff>576579</xdr:rowOff>
    </xdr:to>
    <xdr:pic>
      <xdr:nvPicPr>
        <xdr:cNvPr id="50" name="Graphic 49" descr="Latte Cup with solid fill">
          <a:extLst>
            <a:ext uri="{FF2B5EF4-FFF2-40B4-BE49-F238E27FC236}">
              <a16:creationId xmlns:a16="http://schemas.microsoft.com/office/drawing/2014/main" id="{00000000-0008-0000-0400-000032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9"/>
            </a:ext>
          </a:extLst>
        </a:blip>
        <a:stretch>
          <a:fillRect/>
        </a:stretch>
      </xdr:blipFill>
      <xdr:spPr>
        <a:xfrm>
          <a:off x="15440660" y="8344532"/>
          <a:ext cx="561340" cy="575947"/>
        </a:xfrm>
        <a:prstGeom prst="rect">
          <a:avLst/>
        </a:prstGeom>
      </xdr:spPr>
    </xdr:pic>
    <xdr:clientData/>
  </xdr:twoCellAnchor>
  <xdr:twoCellAnchor>
    <xdr:from>
      <xdr:col>17</xdr:col>
      <xdr:colOff>0</xdr:colOff>
      <xdr:row>109</xdr:row>
      <xdr:rowOff>0</xdr:rowOff>
    </xdr:from>
    <xdr:to>
      <xdr:col>21</xdr:col>
      <xdr:colOff>0</xdr:colOff>
      <xdr:row>130</xdr:row>
      <xdr:rowOff>0</xdr:rowOff>
    </xdr:to>
    <xdr:graphicFrame macro="">
      <xdr:nvGraphicFramePr>
        <xdr:cNvPr id="54" name="Chart 53">
          <a:extLst>
            <a:ext uri="{FF2B5EF4-FFF2-40B4-BE49-F238E27FC236}">
              <a16:creationId xmlns:a16="http://schemas.microsoft.com/office/drawing/2014/main" id="{00000000-0008-0000-0400-00003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6</xdr:col>
      <xdr:colOff>838200</xdr:colOff>
      <xdr:row>124</xdr:row>
      <xdr:rowOff>165100</xdr:rowOff>
    </xdr:from>
    <xdr:to>
      <xdr:col>6</xdr:col>
      <xdr:colOff>1600200</xdr:colOff>
      <xdr:row>129</xdr:row>
      <xdr:rowOff>38100</xdr:rowOff>
    </xdr:to>
    <xdr:pic>
      <xdr:nvPicPr>
        <xdr:cNvPr id="56" name="Graphic 55" descr="Latte Cup with solid fill">
          <a:extLst>
            <a:ext uri="{FF2B5EF4-FFF2-40B4-BE49-F238E27FC236}">
              <a16:creationId xmlns:a16="http://schemas.microsoft.com/office/drawing/2014/main" id="{00000000-0008-0000-0400-00003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12"/>
            </a:ext>
          </a:extLst>
        </a:blip>
        <a:stretch>
          <a:fillRect/>
        </a:stretch>
      </xdr:blipFill>
      <xdr:spPr>
        <a:xfrm>
          <a:off x="6515100" y="29121100"/>
          <a:ext cx="762000" cy="762000"/>
        </a:xfrm>
        <a:prstGeom prst="rect">
          <a:avLst/>
        </a:prstGeom>
      </xdr:spPr>
    </xdr:pic>
    <xdr:clientData/>
  </xdr:twoCellAnchor>
  <xdr:twoCellAnchor editAs="oneCell">
    <xdr:from>
      <xdr:col>13</xdr:col>
      <xdr:colOff>749300</xdr:colOff>
      <xdr:row>123</xdr:row>
      <xdr:rowOff>165100</xdr:rowOff>
    </xdr:from>
    <xdr:to>
      <xdr:col>13</xdr:col>
      <xdr:colOff>1663700</xdr:colOff>
      <xdr:row>129</xdr:row>
      <xdr:rowOff>12700</xdr:rowOff>
    </xdr:to>
    <xdr:pic>
      <xdr:nvPicPr>
        <xdr:cNvPr id="58" name="Graphic 57" descr="Coffee with solid fill">
          <a:extLst>
            <a:ext uri="{FF2B5EF4-FFF2-40B4-BE49-F238E27FC236}">
              <a16:creationId xmlns:a16="http://schemas.microsoft.com/office/drawing/2014/main" id="{00000000-0008-0000-0400-00003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 uri="{96DAC541-7B7A-43D3-8B79-37D633B846F1}">
              <asvg:svgBlip xmlns:asvg="http://schemas.microsoft.com/office/drawing/2016/SVG/main" r:embed="rId14"/>
            </a:ext>
          </a:extLst>
        </a:blip>
        <a:stretch>
          <a:fillRect/>
        </a:stretch>
      </xdr:blipFill>
      <xdr:spPr>
        <a:xfrm>
          <a:off x="13944600" y="28943300"/>
          <a:ext cx="914400" cy="914400"/>
        </a:xfrm>
        <a:prstGeom prst="rect">
          <a:avLst/>
        </a:prstGeom>
      </xdr:spPr>
    </xdr:pic>
    <xdr:clientData/>
  </xdr:twoCellAnchor>
  <xdr:twoCellAnchor editAs="oneCell">
    <xdr:from>
      <xdr:col>20</xdr:col>
      <xdr:colOff>342900</xdr:colOff>
      <xdr:row>124</xdr:row>
      <xdr:rowOff>50800</xdr:rowOff>
    </xdr:from>
    <xdr:to>
      <xdr:col>21</xdr:col>
      <xdr:colOff>25398</xdr:colOff>
      <xdr:row>129</xdr:row>
      <xdr:rowOff>76200</xdr:rowOff>
    </xdr:to>
    <xdr:pic>
      <xdr:nvPicPr>
        <xdr:cNvPr id="59" name="Graphic 58" descr="Coffee with solid fill">
          <a:extLst>
            <a:ext uri="{FF2B5EF4-FFF2-40B4-BE49-F238E27FC236}">
              <a16:creationId xmlns:a16="http://schemas.microsoft.com/office/drawing/2014/main" id="{00000000-0008-0000-0400-00003B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 uri="{96DAC541-7B7A-43D3-8B79-37D633B846F1}">
              <asvg:svgBlip xmlns:asvg="http://schemas.microsoft.com/office/drawing/2016/SVG/main" r:embed="rId16"/>
            </a:ext>
          </a:extLst>
        </a:blip>
        <a:stretch>
          <a:fillRect/>
        </a:stretch>
      </xdr:blipFill>
      <xdr:spPr>
        <a:xfrm>
          <a:off x="20929600" y="29006800"/>
          <a:ext cx="888998" cy="914400"/>
        </a:xfrm>
        <a:prstGeom prst="rect">
          <a:avLst/>
        </a:prstGeom>
      </xdr:spPr>
    </xdr:pic>
    <xdr:clientData/>
  </xdr:twoCellAnchor>
  <xdr:twoCellAnchor editAs="oneCell">
    <xdr:from>
      <xdr:col>19</xdr:col>
      <xdr:colOff>2286000</xdr:colOff>
      <xdr:row>125</xdr:row>
      <xdr:rowOff>38100</xdr:rowOff>
    </xdr:from>
    <xdr:to>
      <xdr:col>20</xdr:col>
      <xdr:colOff>584202</xdr:colOff>
      <xdr:row>129</xdr:row>
      <xdr:rowOff>88900</xdr:rowOff>
    </xdr:to>
    <xdr:pic>
      <xdr:nvPicPr>
        <xdr:cNvPr id="62" name="Graphic 61" descr="Latte Cup with solid fill">
          <a:extLst>
            <a:ext uri="{FF2B5EF4-FFF2-40B4-BE49-F238E27FC236}">
              <a16:creationId xmlns:a16="http://schemas.microsoft.com/office/drawing/2014/main" id="{00000000-0008-0000-0400-00003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 uri="{96DAC541-7B7A-43D3-8B79-37D633B846F1}">
              <asvg:svgBlip xmlns:asvg="http://schemas.microsoft.com/office/drawing/2016/SVG/main" r:embed="rId18"/>
            </a:ext>
          </a:extLst>
        </a:blip>
        <a:stretch>
          <a:fillRect/>
        </a:stretch>
      </xdr:blipFill>
      <xdr:spPr>
        <a:xfrm>
          <a:off x="20408900" y="29171900"/>
          <a:ext cx="762002" cy="762000"/>
        </a:xfrm>
        <a:prstGeom prst="rect">
          <a:avLst/>
        </a:prstGeom>
      </xdr:spPr>
    </xdr:pic>
    <xdr:clientData/>
  </xdr:twoCellAnchor>
  <xdr:twoCellAnchor>
    <xdr:from>
      <xdr:col>10</xdr:col>
      <xdr:colOff>101600</xdr:colOff>
      <xdr:row>6</xdr:row>
      <xdr:rowOff>1148</xdr:rowOff>
    </xdr:from>
    <xdr:to>
      <xdr:col>13</xdr:col>
      <xdr:colOff>800100</xdr:colOff>
      <xdr:row>14</xdr:row>
      <xdr:rowOff>88900</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8305800" y="1906148"/>
          <a:ext cx="5689600" cy="2640452"/>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tx1"/>
              </a:solidFill>
            </a:rPr>
            <a:t>Welcome</a:t>
          </a:r>
          <a:r>
            <a:rPr lang="en-US" sz="2800" b="1" baseline="0">
              <a:solidFill>
                <a:schemeClr val="tx1"/>
              </a:solidFill>
            </a:rPr>
            <a:t> to the Analysis Dashboard! </a:t>
          </a:r>
        </a:p>
        <a:p>
          <a:pPr algn="ctr"/>
          <a:endParaRPr lang="en-US" sz="2400" b="1" baseline="0">
            <a:solidFill>
              <a:schemeClr val="tx1"/>
            </a:solidFill>
          </a:endParaRPr>
        </a:p>
        <a:p>
          <a:pPr algn="ctr"/>
          <a:endParaRPr lang="en-US" sz="1600" baseline="0">
            <a:solidFill>
              <a:schemeClr val="tx1"/>
            </a:solidFill>
          </a:endParaRPr>
        </a:p>
        <a:p>
          <a:pPr algn="ctr"/>
          <a:r>
            <a:rPr lang="en-US" sz="1800" baseline="0">
              <a:solidFill>
                <a:schemeClr val="tx1"/>
              </a:solidFill>
            </a:rPr>
            <a:t>This sheet </a:t>
          </a:r>
          <a:r>
            <a:rPr lang="en-US" sz="1800" b="1" baseline="0">
              <a:solidFill>
                <a:schemeClr val="tx1"/>
              </a:solidFill>
            </a:rPr>
            <a:t>summarizes</a:t>
          </a:r>
          <a:r>
            <a:rPr lang="en-US" sz="1800" baseline="0">
              <a:solidFill>
                <a:schemeClr val="tx1"/>
              </a:solidFill>
            </a:rPr>
            <a:t> and </a:t>
          </a:r>
          <a:r>
            <a:rPr lang="en-US" sz="1800" b="1" baseline="0">
              <a:solidFill>
                <a:schemeClr val="tx1"/>
              </a:solidFill>
            </a:rPr>
            <a:t>visualizes</a:t>
          </a:r>
          <a:r>
            <a:rPr lang="en-US" sz="1800" baseline="0">
              <a:solidFill>
                <a:schemeClr val="tx1"/>
              </a:solidFill>
            </a:rPr>
            <a:t> the data from all of the other sheets. Scroll down or click the next arrow to browse the information presented here.</a:t>
          </a:r>
          <a:endParaRPr lang="en-US" sz="1800">
            <a:solidFill>
              <a:schemeClr val="tx1"/>
            </a:solidFill>
          </a:endParaRPr>
        </a:p>
      </xdr:txBody>
    </xdr:sp>
    <xdr:clientData/>
  </xdr:twoCellAnchor>
  <xdr:twoCellAnchor>
    <xdr:from>
      <xdr:col>4</xdr:col>
      <xdr:colOff>50800</xdr:colOff>
      <xdr:row>15</xdr:row>
      <xdr:rowOff>88900</xdr:rowOff>
    </xdr:from>
    <xdr:to>
      <xdr:col>20</xdr:col>
      <xdr:colOff>292100</xdr:colOff>
      <xdr:row>22</xdr:row>
      <xdr:rowOff>211666</xdr:rowOff>
    </xdr:to>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866900" y="4826000"/>
          <a:ext cx="19011900" cy="2065866"/>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tx1"/>
              </a:solidFill>
            </a:rPr>
            <a:t>Each scenario below essentially</a:t>
          </a:r>
          <a:r>
            <a:rPr lang="en-US" sz="1800" baseline="0">
              <a:solidFill>
                <a:schemeClr val="tx1"/>
              </a:solidFill>
            </a:rPr>
            <a:t> presents variations of the same </a:t>
          </a:r>
          <a:r>
            <a:rPr lang="en-US" sz="1800" b="0" baseline="0">
              <a:solidFill>
                <a:schemeClr val="tx1"/>
              </a:solidFill>
            </a:rPr>
            <a:t>three metrics</a:t>
          </a:r>
          <a:r>
            <a:rPr lang="en-US" sz="1800" baseline="0">
              <a:solidFill>
                <a:schemeClr val="tx1"/>
              </a:solidFill>
            </a:rPr>
            <a:t>: 1) </a:t>
          </a:r>
          <a:r>
            <a:rPr lang="en-US" sz="1800" b="1" baseline="0">
              <a:solidFill>
                <a:schemeClr val="tx1"/>
              </a:solidFill>
            </a:rPr>
            <a:t>Bottom-Line Improvement</a:t>
          </a:r>
          <a:r>
            <a:rPr lang="en-US" sz="1800" baseline="0">
              <a:solidFill>
                <a:schemeClr val="tx1"/>
              </a:solidFill>
            </a:rPr>
            <a:t>, which refers to the change in revenues from the current year minus the change in costs, 2) The number of cups which were </a:t>
          </a:r>
          <a:r>
            <a:rPr lang="en-US" sz="1800" b="1" baseline="0">
              <a:solidFill>
                <a:schemeClr val="tx1"/>
              </a:solidFill>
            </a:rPr>
            <a:t>saved from the landfill </a:t>
          </a:r>
          <a:r>
            <a:rPr lang="en-US" sz="1800" baseline="0">
              <a:solidFill>
                <a:schemeClr val="tx1"/>
              </a:solidFill>
            </a:rPr>
            <a:t>and 3) The number of cups which were </a:t>
          </a:r>
          <a:r>
            <a:rPr lang="en-US" sz="1800" b="1" baseline="0">
              <a:solidFill>
                <a:schemeClr val="tx1"/>
              </a:solidFill>
            </a:rPr>
            <a:t>thrown away</a:t>
          </a:r>
          <a:r>
            <a:rPr lang="en-US" sz="1800" baseline="0">
              <a:solidFill>
                <a:schemeClr val="tx1"/>
              </a:solidFill>
            </a:rPr>
            <a:t>. The </a:t>
          </a:r>
          <a:r>
            <a:rPr lang="en-US" sz="1800" b="1" baseline="0">
              <a:solidFill>
                <a:schemeClr val="tx1"/>
              </a:solidFill>
            </a:rPr>
            <a:t>average, standard of deviation, </a:t>
          </a:r>
          <a:r>
            <a:rPr lang="en-US" sz="1800" b="0" baseline="0">
              <a:solidFill>
                <a:schemeClr val="tx1"/>
              </a:solidFill>
            </a:rPr>
            <a:t>and</a:t>
          </a:r>
          <a:r>
            <a:rPr lang="en-US" sz="1800" b="1" baseline="0">
              <a:solidFill>
                <a:schemeClr val="tx1"/>
              </a:solidFill>
            </a:rPr>
            <a:t> percentile distribution </a:t>
          </a:r>
          <a:r>
            <a:rPr lang="en-US" sz="1800" baseline="0">
              <a:solidFill>
                <a:schemeClr val="tx1"/>
              </a:solidFill>
            </a:rPr>
            <a:t>are displayed for each metric. The </a:t>
          </a:r>
          <a:r>
            <a:rPr lang="en-US" sz="1800" b="1" baseline="0">
              <a:solidFill>
                <a:schemeClr val="tx1"/>
              </a:solidFill>
            </a:rPr>
            <a:t>risk of loss </a:t>
          </a:r>
          <a:r>
            <a:rPr lang="en-US" sz="1800" baseline="0">
              <a:solidFill>
                <a:schemeClr val="tx1"/>
              </a:solidFill>
            </a:rPr>
            <a:t>is the probability, out of one thousand trials, that the bottom-line improvement would be negative for the simulated year. The </a:t>
          </a:r>
          <a:r>
            <a:rPr lang="en-US" sz="1800" b="1" baseline="0">
              <a:solidFill>
                <a:schemeClr val="tx1"/>
              </a:solidFill>
            </a:rPr>
            <a:t>probability of saving cups </a:t>
          </a:r>
          <a:r>
            <a:rPr lang="en-US" sz="1800" baseline="0">
              <a:solidFill>
                <a:schemeClr val="tx1"/>
              </a:solidFill>
            </a:rPr>
            <a:t>compares the projected total volume for the simulated year (including the estimated natural demand increase, if applicable) to the volume of cups thrown away if the initiative were to be implemented. </a:t>
          </a:r>
          <a:r>
            <a:rPr lang="en-US" sz="1800" baseline="0">
              <a:solidFill>
                <a:schemeClr val="tx1"/>
              </a:solidFill>
              <a:latin typeface="+mn-lt"/>
              <a:ea typeface="+mn-ea"/>
              <a:cs typeface="+mn-cs"/>
            </a:rPr>
            <a:t>The </a:t>
          </a:r>
          <a:r>
            <a:rPr lang="en-US" sz="1800" b="1" baseline="0">
              <a:solidFill>
                <a:schemeClr val="tx1"/>
              </a:solidFill>
              <a:latin typeface="+mn-lt"/>
              <a:ea typeface="+mn-ea"/>
              <a:cs typeface="+mn-cs"/>
            </a:rPr>
            <a:t>input values </a:t>
          </a:r>
          <a:r>
            <a:rPr lang="en-US" sz="1800" baseline="0">
              <a:solidFill>
                <a:schemeClr val="tx1"/>
              </a:solidFill>
              <a:latin typeface="+mn-lt"/>
              <a:ea typeface="+mn-ea"/>
              <a:cs typeface="+mn-cs"/>
            </a:rPr>
            <a:t>for analysis can be modified in the assumptions to the right. The reload button below recalculates the simulations using the two random variables incorporated in the model: the demand increase from the initiative and the success rate.</a:t>
          </a:r>
        </a:p>
      </xdr:txBody>
    </xdr:sp>
    <xdr:clientData/>
  </xdr:twoCellAnchor>
  <mc:AlternateContent xmlns:mc="http://schemas.openxmlformats.org/markup-compatibility/2006">
    <mc:Choice xmlns:a14="http://schemas.microsoft.com/office/drawing/2010/main" Requires="a14">
      <xdr:twoCellAnchor editAs="oneCell">
        <xdr:from>
          <xdr:col>29</xdr:col>
          <xdr:colOff>171450</xdr:colOff>
          <xdr:row>14</xdr:row>
          <xdr:rowOff>0</xdr:rowOff>
        </xdr:from>
        <xdr:to>
          <xdr:col>30</xdr:col>
          <xdr:colOff>495300</xdr:colOff>
          <xdr:row>15</xdr:row>
          <xdr:rowOff>38100</xdr:rowOff>
        </xdr:to>
        <xdr:sp macro="" textlink="">
          <xdr:nvSpPr>
            <xdr:cNvPr id="15489" name="Check Box 129" hidden="1">
              <a:extLst>
                <a:ext uri="{63B3BB69-23CF-44E3-9099-C40C66FF867C}">
                  <a14:compatExt spid="_x0000_s15489"/>
                </a:ext>
                <a:ext uri="{FF2B5EF4-FFF2-40B4-BE49-F238E27FC236}">
                  <a16:creationId xmlns:a16="http://schemas.microsoft.com/office/drawing/2014/main" id="{00000000-0008-0000-0400-000081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29</xdr:col>
          <xdr:colOff>171450</xdr:colOff>
          <xdr:row>15</xdr:row>
          <xdr:rowOff>0</xdr:rowOff>
        </xdr:from>
        <xdr:to>
          <xdr:col>30</xdr:col>
          <xdr:colOff>504825</xdr:colOff>
          <xdr:row>16</xdr:row>
          <xdr:rowOff>0</xdr:rowOff>
        </xdr:to>
        <xdr:sp macro="" textlink="">
          <xdr:nvSpPr>
            <xdr:cNvPr id="15490" name="Check Box 130" hidden="1">
              <a:extLst>
                <a:ext uri="{63B3BB69-23CF-44E3-9099-C40C66FF867C}">
                  <a14:compatExt spid="_x0000_s15490"/>
                </a:ext>
                <a:ext uri="{FF2B5EF4-FFF2-40B4-BE49-F238E27FC236}">
                  <a16:creationId xmlns:a16="http://schemas.microsoft.com/office/drawing/2014/main" id="{00000000-0008-0000-0400-000082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29</xdr:col>
          <xdr:colOff>304800</xdr:colOff>
          <xdr:row>12</xdr:row>
          <xdr:rowOff>0</xdr:rowOff>
        </xdr:from>
        <xdr:to>
          <xdr:col>30</xdr:col>
          <xdr:colOff>85725</xdr:colOff>
          <xdr:row>12</xdr:row>
          <xdr:rowOff>323850</xdr:rowOff>
        </xdr:to>
        <xdr:sp macro="" textlink="">
          <xdr:nvSpPr>
            <xdr:cNvPr id="15492" name="Spinner 132" hidden="1">
              <a:extLst>
                <a:ext uri="{63B3BB69-23CF-44E3-9099-C40C66FF867C}">
                  <a14:compatExt spid="_x0000_s15492"/>
                </a:ext>
                <a:ext uri="{FF2B5EF4-FFF2-40B4-BE49-F238E27FC236}">
                  <a16:creationId xmlns:a16="http://schemas.microsoft.com/office/drawing/2014/main" id="{00000000-0008-0000-0400-000084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19050</xdr:colOff>
          <xdr:row>26</xdr:row>
          <xdr:rowOff>19050</xdr:rowOff>
        </xdr:from>
        <xdr:to>
          <xdr:col>32</xdr:col>
          <xdr:colOff>323850</xdr:colOff>
          <xdr:row>26</xdr:row>
          <xdr:rowOff>247650</xdr:rowOff>
        </xdr:to>
        <xdr:sp macro="" textlink="">
          <xdr:nvSpPr>
            <xdr:cNvPr id="15493" name="Spinner 133" hidden="1">
              <a:extLst>
                <a:ext uri="{63B3BB69-23CF-44E3-9099-C40C66FF867C}">
                  <a14:compatExt spid="_x0000_s15493"/>
                </a:ext>
                <a:ext uri="{FF2B5EF4-FFF2-40B4-BE49-F238E27FC236}">
                  <a16:creationId xmlns:a16="http://schemas.microsoft.com/office/drawing/2014/main" id="{00000000-0008-0000-0400-000085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609600</xdr:colOff>
          <xdr:row>26</xdr:row>
          <xdr:rowOff>0</xdr:rowOff>
        </xdr:from>
        <xdr:to>
          <xdr:col>34</xdr:col>
          <xdr:colOff>323850</xdr:colOff>
          <xdr:row>26</xdr:row>
          <xdr:rowOff>257175</xdr:rowOff>
        </xdr:to>
        <xdr:sp macro="" textlink="">
          <xdr:nvSpPr>
            <xdr:cNvPr id="15494" name="Spinner 134" hidden="1">
              <a:extLst>
                <a:ext uri="{63B3BB69-23CF-44E3-9099-C40C66FF867C}">
                  <a14:compatExt spid="_x0000_s15494"/>
                </a:ext>
                <a:ext uri="{FF2B5EF4-FFF2-40B4-BE49-F238E27FC236}">
                  <a16:creationId xmlns:a16="http://schemas.microsoft.com/office/drawing/2014/main" id="{00000000-0008-0000-0400-000086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28</xdr:col>
          <xdr:colOff>304800</xdr:colOff>
          <xdr:row>17</xdr:row>
          <xdr:rowOff>19050</xdr:rowOff>
        </xdr:from>
        <xdr:to>
          <xdr:col>29</xdr:col>
          <xdr:colOff>333375</xdr:colOff>
          <xdr:row>18</xdr:row>
          <xdr:rowOff>266700</xdr:rowOff>
        </xdr:to>
        <xdr:sp macro="" textlink="">
          <xdr:nvSpPr>
            <xdr:cNvPr id="15495" name="Spinner 135" hidden="1">
              <a:extLst>
                <a:ext uri="{63B3BB69-23CF-44E3-9099-C40C66FF867C}">
                  <a14:compatExt spid="_x0000_s15495"/>
                </a:ext>
                <a:ext uri="{FF2B5EF4-FFF2-40B4-BE49-F238E27FC236}">
                  <a16:creationId xmlns:a16="http://schemas.microsoft.com/office/drawing/2014/main" id="{00000000-0008-0000-0400-000087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32</xdr:col>
          <xdr:colOff>19050</xdr:colOff>
          <xdr:row>19</xdr:row>
          <xdr:rowOff>19050</xdr:rowOff>
        </xdr:from>
        <xdr:to>
          <xdr:col>32</xdr:col>
          <xdr:colOff>323850</xdr:colOff>
          <xdr:row>19</xdr:row>
          <xdr:rowOff>247650</xdr:rowOff>
        </xdr:to>
        <xdr:sp macro="" textlink="">
          <xdr:nvSpPr>
            <xdr:cNvPr id="15496" name="Spinner 136" hidden="1">
              <a:extLst>
                <a:ext uri="{63B3BB69-23CF-44E3-9099-C40C66FF867C}">
                  <a14:compatExt spid="_x0000_s15496"/>
                </a:ext>
                <a:ext uri="{FF2B5EF4-FFF2-40B4-BE49-F238E27FC236}">
                  <a16:creationId xmlns:a16="http://schemas.microsoft.com/office/drawing/2014/main" id="{00000000-0008-0000-0400-000088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xdr:from>
          <xdr:col>33</xdr:col>
          <xdr:colOff>609600</xdr:colOff>
          <xdr:row>19</xdr:row>
          <xdr:rowOff>0</xdr:rowOff>
        </xdr:from>
        <xdr:to>
          <xdr:col>34</xdr:col>
          <xdr:colOff>323850</xdr:colOff>
          <xdr:row>19</xdr:row>
          <xdr:rowOff>257175</xdr:rowOff>
        </xdr:to>
        <xdr:sp macro="" textlink="">
          <xdr:nvSpPr>
            <xdr:cNvPr id="15497" name="Spinner 137" hidden="1">
              <a:extLst>
                <a:ext uri="{63B3BB69-23CF-44E3-9099-C40C66FF867C}">
                  <a14:compatExt spid="_x0000_s15497"/>
                </a:ext>
                <a:ext uri="{FF2B5EF4-FFF2-40B4-BE49-F238E27FC236}">
                  <a16:creationId xmlns:a16="http://schemas.microsoft.com/office/drawing/2014/main" id="{00000000-0008-0000-0400-0000893C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37</xdr:col>
      <xdr:colOff>169334</xdr:colOff>
      <xdr:row>7</xdr:row>
      <xdr:rowOff>292100</xdr:rowOff>
    </xdr:from>
    <xdr:to>
      <xdr:col>40</xdr:col>
      <xdr:colOff>414867</xdr:colOff>
      <xdr:row>14</xdr:row>
      <xdr:rowOff>215900</xdr:rowOff>
    </xdr:to>
    <xdr:sp macro="" textlink="">
      <xdr:nvSpPr>
        <xdr:cNvPr id="79" name="TextBox 78">
          <a:extLst>
            <a:ext uri="{FF2B5EF4-FFF2-40B4-BE49-F238E27FC236}">
              <a16:creationId xmlns:a16="http://schemas.microsoft.com/office/drawing/2014/main" id="{00000000-0008-0000-0400-00004F000000}"/>
            </a:ext>
          </a:extLst>
        </xdr:cNvPr>
        <xdr:cNvSpPr txBox="1"/>
      </xdr:nvSpPr>
      <xdr:spPr>
        <a:xfrm>
          <a:off x="34954634" y="1943100"/>
          <a:ext cx="2074333" cy="2197100"/>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ln>
                <a:noFill/>
              </a:ln>
              <a:solidFill>
                <a:schemeClr val="tx1"/>
              </a:solidFill>
            </a:rPr>
            <a:t>Toggles the addition</a:t>
          </a:r>
          <a:r>
            <a:rPr lang="en-US" sz="1400" baseline="0">
              <a:ln>
                <a:noFill/>
              </a:ln>
              <a:solidFill>
                <a:schemeClr val="tx1"/>
              </a:solidFill>
            </a:rPr>
            <a:t> of natural demand increase calculated on the </a:t>
          </a:r>
          <a:r>
            <a:rPr lang="en-US" sz="1400" i="1" baseline="0">
              <a:ln>
                <a:noFill/>
              </a:ln>
              <a:solidFill>
                <a:schemeClr val="tx1"/>
              </a:solidFill>
            </a:rPr>
            <a:t>Metrics</a:t>
          </a:r>
          <a:r>
            <a:rPr lang="en-US" sz="1400" baseline="0">
              <a:ln>
                <a:noFill/>
              </a:ln>
              <a:solidFill>
                <a:schemeClr val="tx1"/>
              </a:solidFill>
            </a:rPr>
            <a:t> worksheet for the simulated year. An initial volume can be entered manually instead. Otherwise, the 2018 volume will be used.</a:t>
          </a:r>
        </a:p>
      </xdr:txBody>
    </xdr:sp>
    <xdr:clientData/>
  </xdr:twoCellAnchor>
  <xdr:twoCellAnchor>
    <xdr:from>
      <xdr:col>36</xdr:col>
      <xdr:colOff>50800</xdr:colOff>
      <xdr:row>9</xdr:row>
      <xdr:rowOff>8465</xdr:rowOff>
    </xdr:from>
    <xdr:to>
      <xdr:col>36</xdr:col>
      <xdr:colOff>254000</xdr:colOff>
      <xdr:row>12</xdr:row>
      <xdr:rowOff>292100</xdr:rowOff>
    </xdr:to>
    <xdr:sp macro="" textlink="">
      <xdr:nvSpPr>
        <xdr:cNvPr id="80" name="Right Brace 79">
          <a:extLst>
            <a:ext uri="{FF2B5EF4-FFF2-40B4-BE49-F238E27FC236}">
              <a16:creationId xmlns:a16="http://schemas.microsoft.com/office/drawing/2014/main" id="{00000000-0008-0000-0400-000050000000}"/>
            </a:ext>
          </a:extLst>
        </xdr:cNvPr>
        <xdr:cNvSpPr/>
      </xdr:nvSpPr>
      <xdr:spPr>
        <a:xfrm>
          <a:off x="33578800" y="2904065"/>
          <a:ext cx="203200" cy="1274235"/>
        </a:xfrm>
        <a:prstGeom prst="rightBrace">
          <a:avLst>
            <a:gd name="adj1" fmla="val 10483"/>
            <a:gd name="adj2" fmla="val 48529"/>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36</xdr:col>
      <xdr:colOff>254000</xdr:colOff>
      <xdr:row>10</xdr:row>
      <xdr:rowOff>296639</xdr:rowOff>
    </xdr:from>
    <xdr:to>
      <xdr:col>37</xdr:col>
      <xdr:colOff>169334</xdr:colOff>
      <xdr:row>11</xdr:row>
      <xdr:rowOff>19050</xdr:rowOff>
    </xdr:to>
    <xdr:cxnSp macro="">
      <xdr:nvCxnSpPr>
        <xdr:cNvPr id="81" name="Straight Connector 80">
          <a:extLst>
            <a:ext uri="{FF2B5EF4-FFF2-40B4-BE49-F238E27FC236}">
              <a16:creationId xmlns:a16="http://schemas.microsoft.com/office/drawing/2014/main" id="{00000000-0008-0000-0400-000051000000}"/>
            </a:ext>
          </a:extLst>
        </xdr:cNvPr>
        <xdr:cNvCxnSpPr>
          <a:cxnSpLocks/>
          <a:stCxn id="80" idx="1"/>
          <a:endCxn id="79" idx="1"/>
        </xdr:cNvCxnSpPr>
      </xdr:nvCxnSpPr>
      <xdr:spPr>
        <a:xfrm>
          <a:off x="34429700" y="2989039"/>
          <a:ext cx="524934" cy="52611"/>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177801</xdr:colOff>
      <xdr:row>7</xdr:row>
      <xdr:rowOff>317500</xdr:rowOff>
    </xdr:from>
    <xdr:to>
      <xdr:col>37</xdr:col>
      <xdr:colOff>177801</xdr:colOff>
      <xdr:row>14</xdr:row>
      <xdr:rowOff>241300</xdr:rowOff>
    </xdr:to>
    <xdr:cxnSp macro="">
      <xdr:nvCxnSpPr>
        <xdr:cNvPr id="82" name="Straight Connector 81">
          <a:extLst>
            <a:ext uri="{FF2B5EF4-FFF2-40B4-BE49-F238E27FC236}">
              <a16:creationId xmlns:a16="http://schemas.microsoft.com/office/drawing/2014/main" id="{00000000-0008-0000-0400-000052000000}"/>
            </a:ext>
          </a:extLst>
        </xdr:cNvPr>
        <xdr:cNvCxnSpPr/>
      </xdr:nvCxnSpPr>
      <xdr:spPr>
        <a:xfrm>
          <a:off x="34963101" y="1968500"/>
          <a:ext cx="0" cy="2197100"/>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88900</xdr:colOff>
      <xdr:row>8</xdr:row>
      <xdr:rowOff>139700</xdr:rowOff>
    </xdr:from>
    <xdr:to>
      <xdr:col>25</xdr:col>
      <xdr:colOff>444500</xdr:colOff>
      <xdr:row>11</xdr:row>
      <xdr:rowOff>0</xdr:rowOff>
    </xdr:to>
    <xdr:sp macro="" textlink="">
      <xdr:nvSpPr>
        <xdr:cNvPr id="83" name="TextBox 82">
          <a:extLst>
            <a:ext uri="{FF2B5EF4-FFF2-40B4-BE49-F238E27FC236}">
              <a16:creationId xmlns:a16="http://schemas.microsoft.com/office/drawing/2014/main" id="{00000000-0008-0000-0400-000053000000}"/>
            </a:ext>
          </a:extLst>
        </xdr:cNvPr>
        <xdr:cNvSpPr txBox="1"/>
      </xdr:nvSpPr>
      <xdr:spPr>
        <a:xfrm>
          <a:off x="23850600" y="2692400"/>
          <a:ext cx="1574800" cy="863600"/>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400" b="0" baseline="0">
              <a:ln>
                <a:noFill/>
              </a:ln>
              <a:solidFill>
                <a:schemeClr val="tx1"/>
              </a:solidFill>
            </a:rPr>
            <a:t>Historical data from 2018 will be used if left blank.</a:t>
          </a:r>
        </a:p>
      </xdr:txBody>
    </xdr:sp>
    <xdr:clientData/>
  </xdr:twoCellAnchor>
  <xdr:twoCellAnchor>
    <xdr:from>
      <xdr:col>25</xdr:col>
      <xdr:colOff>406401</xdr:colOff>
      <xdr:row>9</xdr:row>
      <xdr:rowOff>228600</xdr:rowOff>
    </xdr:from>
    <xdr:to>
      <xdr:col>26</xdr:col>
      <xdr:colOff>419100</xdr:colOff>
      <xdr:row>10</xdr:row>
      <xdr:rowOff>0</xdr:rowOff>
    </xdr:to>
    <xdr:cxnSp macro="">
      <xdr:nvCxnSpPr>
        <xdr:cNvPr id="84" name="Straight Connector 83">
          <a:extLst>
            <a:ext uri="{FF2B5EF4-FFF2-40B4-BE49-F238E27FC236}">
              <a16:creationId xmlns:a16="http://schemas.microsoft.com/office/drawing/2014/main" id="{00000000-0008-0000-0400-000054000000}"/>
            </a:ext>
          </a:extLst>
        </xdr:cNvPr>
        <xdr:cNvCxnSpPr/>
      </xdr:nvCxnSpPr>
      <xdr:spPr>
        <a:xfrm>
          <a:off x="25387301" y="3124200"/>
          <a:ext cx="622299" cy="101600"/>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406401</xdr:colOff>
      <xdr:row>8</xdr:row>
      <xdr:rowOff>110067</xdr:rowOff>
    </xdr:from>
    <xdr:to>
      <xdr:col>25</xdr:col>
      <xdr:colOff>406401</xdr:colOff>
      <xdr:row>11</xdr:row>
      <xdr:rowOff>0</xdr:rowOff>
    </xdr:to>
    <xdr:cxnSp macro="">
      <xdr:nvCxnSpPr>
        <xdr:cNvPr id="85" name="Straight Connector 84">
          <a:extLst>
            <a:ext uri="{FF2B5EF4-FFF2-40B4-BE49-F238E27FC236}">
              <a16:creationId xmlns:a16="http://schemas.microsoft.com/office/drawing/2014/main" id="{00000000-0008-0000-0400-000055000000}"/>
            </a:ext>
          </a:extLst>
        </xdr:cNvPr>
        <xdr:cNvCxnSpPr/>
      </xdr:nvCxnSpPr>
      <xdr:spPr>
        <a:xfrm>
          <a:off x="25387301" y="2662767"/>
          <a:ext cx="0" cy="893233"/>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169334</xdr:colOff>
      <xdr:row>16</xdr:row>
      <xdr:rowOff>215901</xdr:rowOff>
    </xdr:from>
    <xdr:to>
      <xdr:col>40</xdr:col>
      <xdr:colOff>414867</xdr:colOff>
      <xdr:row>28</xdr:row>
      <xdr:rowOff>25401</xdr:rowOff>
    </xdr:to>
    <xdr:sp macro="" textlink="">
      <xdr:nvSpPr>
        <xdr:cNvPr id="86" name="TextBox 85">
          <a:extLst>
            <a:ext uri="{FF2B5EF4-FFF2-40B4-BE49-F238E27FC236}">
              <a16:creationId xmlns:a16="http://schemas.microsoft.com/office/drawing/2014/main" id="{00000000-0008-0000-0400-000056000000}"/>
            </a:ext>
          </a:extLst>
        </xdr:cNvPr>
        <xdr:cNvSpPr txBox="1"/>
      </xdr:nvSpPr>
      <xdr:spPr>
        <a:xfrm>
          <a:off x="34306934" y="5232401"/>
          <a:ext cx="2074333" cy="3136900"/>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ln>
                <a:noFill/>
              </a:ln>
              <a:solidFill>
                <a:schemeClr val="tx1"/>
              </a:solidFill>
            </a:rPr>
            <a:t>These are the success rates</a:t>
          </a:r>
          <a:r>
            <a:rPr lang="en-US" sz="1400" baseline="0">
              <a:ln>
                <a:noFill/>
              </a:ln>
              <a:solidFill>
                <a:schemeClr val="tx1"/>
              </a:solidFill>
            </a:rPr>
            <a:t> for each scenario. The combined scenario uses both rates.</a:t>
          </a:r>
        </a:p>
        <a:p>
          <a:endParaRPr lang="en-US" sz="1400" baseline="0">
            <a:ln>
              <a:noFill/>
            </a:ln>
            <a:solidFill>
              <a:schemeClr val="tx1"/>
            </a:solidFill>
          </a:endParaRPr>
        </a:p>
        <a:p>
          <a:r>
            <a:rPr lang="en-US" sz="1400" baseline="0">
              <a:ln>
                <a:noFill/>
              </a:ln>
              <a:solidFill>
                <a:schemeClr val="tx1"/>
              </a:solidFill>
            </a:rPr>
            <a:t>To use an exact value for each rate, simply enter a number in the appropriate cell. To use a  range of values, make sure to delete any values in the cells for exact values first.</a:t>
          </a:r>
          <a:endParaRPr lang="en-US" sz="1400">
            <a:ln>
              <a:noFill/>
            </a:ln>
            <a:solidFill>
              <a:schemeClr val="tx1"/>
            </a:solidFill>
          </a:endParaRPr>
        </a:p>
      </xdr:txBody>
    </xdr:sp>
    <xdr:clientData/>
  </xdr:twoCellAnchor>
  <xdr:twoCellAnchor>
    <xdr:from>
      <xdr:col>36</xdr:col>
      <xdr:colOff>63500</xdr:colOff>
      <xdr:row>15</xdr:row>
      <xdr:rowOff>12700</xdr:rowOff>
    </xdr:from>
    <xdr:to>
      <xdr:col>36</xdr:col>
      <xdr:colOff>279400</xdr:colOff>
      <xdr:row>27</xdr:row>
      <xdr:rowOff>0</xdr:rowOff>
    </xdr:to>
    <xdr:sp macro="" textlink="">
      <xdr:nvSpPr>
        <xdr:cNvPr id="87" name="Right Brace 86">
          <a:extLst>
            <a:ext uri="{FF2B5EF4-FFF2-40B4-BE49-F238E27FC236}">
              <a16:creationId xmlns:a16="http://schemas.microsoft.com/office/drawing/2014/main" id="{00000000-0008-0000-0400-000057000000}"/>
            </a:ext>
          </a:extLst>
        </xdr:cNvPr>
        <xdr:cNvSpPr/>
      </xdr:nvSpPr>
      <xdr:spPr>
        <a:xfrm>
          <a:off x="33591500" y="4749800"/>
          <a:ext cx="215900" cy="3314700"/>
        </a:xfrm>
        <a:prstGeom prst="rightBrace">
          <a:avLst>
            <a:gd name="adj1" fmla="val 10483"/>
            <a:gd name="adj2" fmla="val 48529"/>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36</xdr:col>
      <xdr:colOff>279400</xdr:colOff>
      <xdr:row>20</xdr:row>
      <xdr:rowOff>224291</xdr:rowOff>
    </xdr:from>
    <xdr:to>
      <xdr:col>37</xdr:col>
      <xdr:colOff>169334</xdr:colOff>
      <xdr:row>22</xdr:row>
      <xdr:rowOff>120651</xdr:rowOff>
    </xdr:to>
    <xdr:cxnSp macro="">
      <xdr:nvCxnSpPr>
        <xdr:cNvPr id="88" name="Straight Connector 87">
          <a:extLst>
            <a:ext uri="{FF2B5EF4-FFF2-40B4-BE49-F238E27FC236}">
              <a16:creationId xmlns:a16="http://schemas.microsoft.com/office/drawing/2014/main" id="{00000000-0008-0000-0400-000058000000}"/>
            </a:ext>
          </a:extLst>
        </xdr:cNvPr>
        <xdr:cNvCxnSpPr>
          <a:cxnSpLocks/>
          <a:stCxn id="87" idx="1"/>
          <a:endCxn id="86" idx="1"/>
        </xdr:cNvCxnSpPr>
      </xdr:nvCxnSpPr>
      <xdr:spPr>
        <a:xfrm>
          <a:off x="33807400" y="6358391"/>
          <a:ext cx="499534" cy="442460"/>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169334</xdr:colOff>
      <xdr:row>17</xdr:row>
      <xdr:rowOff>12700</xdr:rowOff>
    </xdr:from>
    <xdr:to>
      <xdr:col>37</xdr:col>
      <xdr:colOff>169334</xdr:colOff>
      <xdr:row>28</xdr:row>
      <xdr:rowOff>12700</xdr:rowOff>
    </xdr:to>
    <xdr:cxnSp macro="">
      <xdr:nvCxnSpPr>
        <xdr:cNvPr id="89" name="Straight Connector 88">
          <a:extLst>
            <a:ext uri="{FF2B5EF4-FFF2-40B4-BE49-F238E27FC236}">
              <a16:creationId xmlns:a16="http://schemas.microsoft.com/office/drawing/2014/main" id="{00000000-0008-0000-0400-000059000000}"/>
            </a:ext>
          </a:extLst>
        </xdr:cNvPr>
        <xdr:cNvCxnSpPr/>
      </xdr:nvCxnSpPr>
      <xdr:spPr>
        <a:xfrm>
          <a:off x="34306934" y="5308600"/>
          <a:ext cx="0" cy="3048000"/>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11</xdr:col>
          <xdr:colOff>0</xdr:colOff>
          <xdr:row>24</xdr:row>
          <xdr:rowOff>0</xdr:rowOff>
        </xdr:from>
        <xdr:to>
          <xdr:col>13</xdr:col>
          <xdr:colOff>0</xdr:colOff>
          <xdr:row>27</xdr:row>
          <xdr:rowOff>0</xdr:rowOff>
        </xdr:to>
        <xdr:sp macro="" textlink="">
          <xdr:nvSpPr>
            <xdr:cNvPr id="15499" name="Button 139" hidden="1">
              <a:extLst>
                <a:ext uri="{63B3BB69-23CF-44E3-9099-C40C66FF867C}">
                  <a14:compatExt spid="_x0000_s15499"/>
                </a:ext>
                <a:ext uri="{FF2B5EF4-FFF2-40B4-BE49-F238E27FC236}">
                  <a16:creationId xmlns:a16="http://schemas.microsoft.com/office/drawing/2014/main" id="{00000000-0008-0000-0400-00008B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ea typeface="Calibri"/>
                  <a:cs typeface="Calibri"/>
                </a:rPr>
                <a:t>Reload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304800</xdr:colOff>
          <xdr:row>7</xdr:row>
          <xdr:rowOff>57150</xdr:rowOff>
        </xdr:from>
        <xdr:to>
          <xdr:col>36</xdr:col>
          <xdr:colOff>552450</xdr:colOff>
          <xdr:row>7</xdr:row>
          <xdr:rowOff>314325</xdr:rowOff>
        </xdr:to>
        <xdr:sp macro="" textlink="">
          <xdr:nvSpPr>
            <xdr:cNvPr id="15500" name="Button 140" hidden="1">
              <a:extLst>
                <a:ext uri="{63B3BB69-23CF-44E3-9099-C40C66FF867C}">
                  <a14:compatExt spid="_x0000_s15500"/>
                </a:ext>
                <a:ext uri="{FF2B5EF4-FFF2-40B4-BE49-F238E27FC236}">
                  <a16:creationId xmlns:a16="http://schemas.microsoft.com/office/drawing/2014/main" id="{00000000-0008-0000-0400-00008C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ea typeface="Calibri"/>
                  <a:cs typeface="Calibri"/>
                </a:rPr>
                <a:t>Reload</a:t>
              </a:r>
            </a:p>
          </xdr:txBody>
        </xdr:sp>
        <xdr:clientData fPrintsWithSheet="0"/>
      </xdr:twoCellAnchor>
    </mc:Choice>
    <mc:Fallback/>
  </mc:AlternateContent>
  <xdr:twoCellAnchor>
    <xdr:from>
      <xdr:col>3</xdr:col>
      <xdr:colOff>0</xdr:colOff>
      <xdr:row>30</xdr:row>
      <xdr:rowOff>0</xdr:rowOff>
    </xdr:from>
    <xdr:to>
      <xdr:col>7</xdr:col>
      <xdr:colOff>0</xdr:colOff>
      <xdr:row>31</xdr:row>
      <xdr:rowOff>0</xdr:rowOff>
    </xdr:to>
    <xdr:sp macro="" textlink="">
      <xdr:nvSpPr>
        <xdr:cNvPr id="17" name="TextBox 16">
          <a:extLst>
            <a:ext uri="{FF2B5EF4-FFF2-40B4-BE49-F238E27FC236}">
              <a16:creationId xmlns:a16="http://schemas.microsoft.com/office/drawing/2014/main" id="{00000000-0008-0000-0400-000011000000}"/>
            </a:ext>
          </a:extLst>
        </xdr:cNvPr>
        <xdr:cNvSpPr txBox="1"/>
      </xdr:nvSpPr>
      <xdr:spPr>
        <a:xfrm>
          <a:off x="685800" y="9144000"/>
          <a:ext cx="6769100" cy="2197100"/>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600" b="0" i="0" u="none" strike="noStrike">
              <a:solidFill>
                <a:schemeClr val="tx1"/>
              </a:solidFill>
              <a:effectLst/>
              <a:latin typeface="+mn-lt"/>
              <a:ea typeface="+mn-ea"/>
              <a:cs typeface="+mn-cs"/>
            </a:rPr>
            <a:t>In this scenario, Springfield Beans would transition to purchasing only </a:t>
          </a:r>
          <a:r>
            <a:rPr lang="en-US" sz="1600" b="1" i="0" u="none" strike="noStrike">
              <a:solidFill>
                <a:schemeClr val="tx1"/>
              </a:solidFill>
              <a:effectLst/>
              <a:latin typeface="+mn-lt"/>
              <a:ea typeface="+mn-ea"/>
              <a:cs typeface="+mn-cs"/>
            </a:rPr>
            <a:t>compostable cups </a:t>
          </a:r>
          <a:r>
            <a:rPr lang="en-US" sz="1600" b="0" i="0" u="none" strike="noStrike">
              <a:solidFill>
                <a:schemeClr val="tx1"/>
              </a:solidFill>
              <a:effectLst/>
              <a:latin typeface="+mn-lt"/>
              <a:ea typeface="+mn-ea"/>
              <a:cs typeface="+mn-cs"/>
            </a:rPr>
            <a:t>(which are typically more expensive than disposable ones). Additionally, by buying advertisements, Springfield Beans would be able to use this initiative to increase demand for their drinks. The goal for this initiative would be for customers to compost these cups after they finish their drinks, however, history has shown that the success rate for this initiative is low. The economic and sustainability results of this scenario are displayed below:</a:t>
          </a:r>
          <a:r>
            <a:rPr lang="en-US" sz="1600">
              <a:solidFill>
                <a:schemeClr val="tx1"/>
              </a:solidFill>
            </a:rPr>
            <a:t> </a:t>
          </a:r>
        </a:p>
      </xdr:txBody>
    </xdr:sp>
    <xdr:clientData/>
  </xdr:twoCellAnchor>
  <xdr:twoCellAnchor>
    <xdr:from>
      <xdr:col>10</xdr:col>
      <xdr:colOff>0</xdr:colOff>
      <xdr:row>30</xdr:row>
      <xdr:rowOff>0</xdr:rowOff>
    </xdr:from>
    <xdr:to>
      <xdr:col>14</xdr:col>
      <xdr:colOff>0</xdr:colOff>
      <xdr:row>31</xdr:row>
      <xdr:rowOff>0</xdr:rowOff>
    </xdr:to>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8204200" y="9144000"/>
          <a:ext cx="6731000" cy="2197100"/>
        </a:xfrm>
        <a:prstGeom prst="rect">
          <a:avLst/>
        </a:prstGeom>
        <a:solidFill>
          <a:schemeClr val="lt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600" b="0" i="0" u="none" strike="noStrike">
              <a:solidFill>
                <a:schemeClr val="tx1"/>
              </a:solidFill>
              <a:effectLst/>
              <a:latin typeface="+mn-lt"/>
              <a:ea typeface="+mn-ea"/>
              <a:cs typeface="+mn-cs"/>
            </a:rPr>
            <a:t>In this scenario, Springfield Beans would give customers the option to bring in a </a:t>
          </a:r>
          <a:r>
            <a:rPr lang="en-US" sz="1600" b="1" i="0" u="none" strike="noStrike">
              <a:solidFill>
                <a:schemeClr val="tx1"/>
              </a:solidFill>
              <a:effectLst/>
              <a:latin typeface="+mn-lt"/>
              <a:ea typeface="+mn-ea"/>
              <a:cs typeface="+mn-cs"/>
            </a:rPr>
            <a:t>reusable mug </a:t>
          </a:r>
          <a:r>
            <a:rPr lang="en-US" sz="1600" b="0" i="0" u="none" strike="noStrike">
              <a:solidFill>
                <a:schemeClr val="tx1"/>
              </a:solidFill>
              <a:effectLst/>
              <a:latin typeface="+mn-lt"/>
              <a:ea typeface="+mn-ea"/>
              <a:cs typeface="+mn-cs"/>
            </a:rPr>
            <a:t>for a discount on their purchase of a drink. Again, by buying advertisements, Springfield Beans would be able to use this initiative to increase demand for their drinks. The goal for this initiative would be for as many customers as possible to take advantage of this, however, history has shown that the success rate for this initiative is somewhat low. The economic and sustainability results of this scenario are shown below: </a:t>
          </a:r>
        </a:p>
      </xdr:txBody>
    </xdr:sp>
    <xdr:clientData/>
  </xdr:twoCellAnchor>
  <xdr:twoCellAnchor>
    <xdr:from>
      <xdr:col>17</xdr:col>
      <xdr:colOff>0</xdr:colOff>
      <xdr:row>30</xdr:row>
      <xdr:rowOff>0</xdr:rowOff>
    </xdr:from>
    <xdr:to>
      <xdr:col>21</xdr:col>
      <xdr:colOff>0</xdr:colOff>
      <xdr:row>31</xdr:row>
      <xdr:rowOff>0</xdr:rowOff>
    </xdr:to>
    <xdr:sp macro="" textlink="">
      <xdr:nvSpPr>
        <xdr:cNvPr id="19" name="TextBox 18">
          <a:extLst>
            <a:ext uri="{FF2B5EF4-FFF2-40B4-BE49-F238E27FC236}">
              <a16:creationId xmlns:a16="http://schemas.microsoft.com/office/drawing/2014/main" id="{00000000-0008-0000-0400-000013000000}"/>
            </a:ext>
          </a:extLst>
        </xdr:cNvPr>
        <xdr:cNvSpPr txBox="1"/>
      </xdr:nvSpPr>
      <xdr:spPr>
        <a:xfrm>
          <a:off x="15709900" y="9144000"/>
          <a:ext cx="6083300" cy="2197100"/>
        </a:xfrm>
        <a:prstGeom prst="rect">
          <a:avLst/>
        </a:prstGeom>
        <a:solidFill>
          <a:schemeClr val="lt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r>
            <a:rPr lang="en-US" sz="1600" b="0" i="0" u="none" strike="noStrike">
              <a:solidFill>
                <a:schemeClr val="tx1"/>
              </a:solidFill>
              <a:effectLst/>
              <a:latin typeface="+mn-lt"/>
              <a:ea typeface="+mn-ea"/>
              <a:cs typeface="+mn-cs"/>
            </a:rPr>
            <a:t>In this scenario, Springfield Beans would </a:t>
          </a:r>
          <a:r>
            <a:rPr lang="en-US" sz="1600" b="1" i="0" u="none" strike="noStrike">
              <a:solidFill>
                <a:schemeClr val="tx1"/>
              </a:solidFill>
              <a:effectLst/>
              <a:latin typeface="+mn-lt"/>
              <a:ea typeface="+mn-ea"/>
              <a:cs typeface="+mn-cs"/>
            </a:rPr>
            <a:t>combine</a:t>
          </a:r>
          <a:r>
            <a:rPr lang="en-US" sz="1600" b="0" i="0" u="none" strike="noStrike">
              <a:solidFill>
                <a:schemeClr val="tx1"/>
              </a:solidFill>
              <a:effectLst/>
              <a:latin typeface="+mn-lt"/>
              <a:ea typeface="+mn-ea"/>
              <a:cs typeface="+mn-cs"/>
            </a:rPr>
            <a:t> both of the initiatives from the previous scenarios. Customers would be given the option to bring in a reusable mug for a discount on their purchase of a drink and would be given a compostable cup if they opted not to. The advertisement cost for this initiative is the sum of the ad costs for both initiatives, but it can also be modified separately</a:t>
          </a:r>
          <a:r>
            <a:rPr lang="en-US" sz="1600" b="0" i="0" u="none" strike="noStrike" baseline="0">
              <a:solidFill>
                <a:schemeClr val="tx1"/>
              </a:solidFill>
              <a:effectLst/>
              <a:latin typeface="+mn-lt"/>
              <a:ea typeface="+mn-ea"/>
              <a:cs typeface="+mn-cs"/>
            </a:rPr>
            <a:t> in the assumptions</a:t>
          </a:r>
          <a:r>
            <a:rPr lang="en-US" sz="1600" b="0" i="0" u="none" strike="noStrike">
              <a:solidFill>
                <a:schemeClr val="tx1"/>
              </a:solidFill>
              <a:effectLst/>
              <a:latin typeface="+mn-lt"/>
              <a:ea typeface="+mn-ea"/>
              <a:cs typeface="+mn-cs"/>
            </a:rPr>
            <a:t>. The economic and sustainability results of this scenario are shown below: </a:t>
          </a:r>
        </a:p>
      </xdr:txBody>
    </xdr:sp>
    <xdr:clientData/>
  </xdr:twoCellAnchor>
  <mc:AlternateContent xmlns:mc="http://schemas.openxmlformats.org/markup-compatibility/2006">
    <mc:Choice xmlns:a14="http://schemas.microsoft.com/office/drawing/2010/main" Requires="a14">
      <xdr:twoCellAnchor editAs="oneCell">
        <xdr:from>
          <xdr:col>35</xdr:col>
          <xdr:colOff>266700</xdr:colOff>
          <xdr:row>8</xdr:row>
          <xdr:rowOff>323850</xdr:rowOff>
        </xdr:from>
        <xdr:to>
          <xdr:col>35</xdr:col>
          <xdr:colOff>762000</xdr:colOff>
          <xdr:row>10</xdr:row>
          <xdr:rowOff>323850</xdr:rowOff>
        </xdr:to>
        <xdr:sp macro="" textlink="">
          <xdr:nvSpPr>
            <xdr:cNvPr id="15502" name="Check Box 142" hidden="1">
              <a:extLst>
                <a:ext uri="{63B3BB69-23CF-44E3-9099-C40C66FF867C}">
                  <a14:compatExt spid="_x0000_s15502"/>
                </a:ext>
                <a:ext uri="{FF2B5EF4-FFF2-40B4-BE49-F238E27FC236}">
                  <a16:creationId xmlns:a16="http://schemas.microsoft.com/office/drawing/2014/main" id="{00000000-0008-0000-0400-00008E3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177799</xdr:colOff>
      <xdr:row>2</xdr:row>
      <xdr:rowOff>81279</xdr:rowOff>
    </xdr:from>
    <xdr:to>
      <xdr:col>3</xdr:col>
      <xdr:colOff>939800</xdr:colOff>
      <xdr:row>4</xdr:row>
      <xdr:rowOff>80542</xdr:rowOff>
    </xdr:to>
    <xdr:sp macro="" textlink="">
      <xdr:nvSpPr>
        <xdr:cNvPr id="63" name="Rectangle 62">
          <a:hlinkClick xmlns:r="http://schemas.openxmlformats.org/officeDocument/2006/relationships" r:id="rId19"/>
          <a:extLst>
            <a:ext uri="{FF2B5EF4-FFF2-40B4-BE49-F238E27FC236}">
              <a16:creationId xmlns:a16="http://schemas.microsoft.com/office/drawing/2014/main" id="{00000000-0008-0000-0400-00003F000000}"/>
            </a:ext>
          </a:extLst>
        </xdr:cNvPr>
        <xdr:cNvSpPr/>
      </xdr:nvSpPr>
      <xdr:spPr>
        <a:xfrm>
          <a:off x="177799" y="1338579"/>
          <a:ext cx="1447801" cy="418363"/>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u="sng"/>
            <a:t>Main Menu</a:t>
          </a:r>
        </a:p>
      </xdr:txBody>
    </xdr:sp>
    <xdr:clientData/>
  </xdr:twoCellAnchor>
  <xdr:twoCellAnchor>
    <xdr:from>
      <xdr:col>5</xdr:col>
      <xdr:colOff>652780</xdr:colOff>
      <xdr:row>2</xdr:row>
      <xdr:rowOff>81279</xdr:rowOff>
    </xdr:from>
    <xdr:to>
      <xdr:col>6</xdr:col>
      <xdr:colOff>1168400</xdr:colOff>
      <xdr:row>4</xdr:row>
      <xdr:rowOff>80542</xdr:rowOff>
    </xdr:to>
    <xdr:sp macro="" textlink="">
      <xdr:nvSpPr>
        <xdr:cNvPr id="64" name="Rectangle 63">
          <a:hlinkClick xmlns:r="http://schemas.openxmlformats.org/officeDocument/2006/relationships" r:id="rId20"/>
          <a:extLst>
            <a:ext uri="{FF2B5EF4-FFF2-40B4-BE49-F238E27FC236}">
              <a16:creationId xmlns:a16="http://schemas.microsoft.com/office/drawing/2014/main" id="{00000000-0008-0000-0400-000040000000}"/>
            </a:ext>
          </a:extLst>
        </xdr:cNvPr>
        <xdr:cNvSpPr/>
      </xdr:nvSpPr>
      <xdr:spPr>
        <a:xfrm>
          <a:off x="3865880" y="1338579"/>
          <a:ext cx="2979420" cy="418363"/>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u="sng"/>
            <a:t>Compostable</a:t>
          </a:r>
          <a:r>
            <a:rPr lang="en-US" sz="2000" u="sng" baseline="0"/>
            <a:t> Cup Scenario</a:t>
          </a:r>
          <a:endParaRPr lang="en-US" sz="2000" u="sng"/>
        </a:p>
      </xdr:txBody>
    </xdr:sp>
    <xdr:clientData/>
  </xdr:twoCellAnchor>
  <xdr:twoCellAnchor>
    <xdr:from>
      <xdr:col>10</xdr:col>
      <xdr:colOff>474980</xdr:colOff>
      <xdr:row>2</xdr:row>
      <xdr:rowOff>50800</xdr:rowOff>
    </xdr:from>
    <xdr:to>
      <xdr:col>12</xdr:col>
      <xdr:colOff>546100</xdr:colOff>
      <xdr:row>4</xdr:row>
      <xdr:rowOff>76200</xdr:rowOff>
    </xdr:to>
    <xdr:sp macro="" textlink="">
      <xdr:nvSpPr>
        <xdr:cNvPr id="65" name="Rectangle 64">
          <a:hlinkClick xmlns:r="http://schemas.openxmlformats.org/officeDocument/2006/relationships" r:id="rId21"/>
          <a:extLst>
            <a:ext uri="{FF2B5EF4-FFF2-40B4-BE49-F238E27FC236}">
              <a16:creationId xmlns:a16="http://schemas.microsoft.com/office/drawing/2014/main" id="{00000000-0008-0000-0400-000041000000}"/>
            </a:ext>
          </a:extLst>
        </xdr:cNvPr>
        <xdr:cNvSpPr/>
      </xdr:nvSpPr>
      <xdr:spPr>
        <a:xfrm>
          <a:off x="8679180" y="774700"/>
          <a:ext cx="2598420" cy="444500"/>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u="sng">
              <a:solidFill>
                <a:schemeClr val="bg1"/>
              </a:solidFill>
            </a:rPr>
            <a:t>Reusable</a:t>
          </a:r>
          <a:r>
            <a:rPr lang="en-US" sz="2000" u="sng" baseline="0">
              <a:solidFill>
                <a:schemeClr val="bg1"/>
              </a:solidFill>
            </a:rPr>
            <a:t> Mug Scenario</a:t>
          </a:r>
          <a:endParaRPr lang="en-US" sz="2000" u="sng">
            <a:solidFill>
              <a:schemeClr val="bg1"/>
            </a:solidFill>
          </a:endParaRPr>
        </a:p>
      </xdr:txBody>
    </xdr:sp>
    <xdr:clientData/>
  </xdr:twoCellAnchor>
  <xdr:twoCellAnchor>
    <xdr:from>
      <xdr:col>18</xdr:col>
      <xdr:colOff>850900</xdr:colOff>
      <xdr:row>2</xdr:row>
      <xdr:rowOff>81279</xdr:rowOff>
    </xdr:from>
    <xdr:to>
      <xdr:col>19</xdr:col>
      <xdr:colOff>895184</xdr:colOff>
      <xdr:row>4</xdr:row>
      <xdr:rowOff>80542</xdr:rowOff>
    </xdr:to>
    <xdr:sp macro="" textlink="">
      <xdr:nvSpPr>
        <xdr:cNvPr id="66" name="Rectangle 65">
          <a:hlinkClick xmlns:r="http://schemas.openxmlformats.org/officeDocument/2006/relationships" r:id="rId22"/>
          <a:extLst>
            <a:ext uri="{FF2B5EF4-FFF2-40B4-BE49-F238E27FC236}">
              <a16:creationId xmlns:a16="http://schemas.microsoft.com/office/drawing/2014/main" id="{00000000-0008-0000-0400-000042000000}"/>
            </a:ext>
          </a:extLst>
        </xdr:cNvPr>
        <xdr:cNvSpPr/>
      </xdr:nvSpPr>
      <xdr:spPr>
        <a:xfrm>
          <a:off x="17691100" y="1338579"/>
          <a:ext cx="1326984" cy="418363"/>
        </a:xfrm>
        <a:prstGeom prst="rect">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u="sng">
              <a:solidFill>
                <a:schemeClr val="bg1"/>
              </a:solidFill>
            </a:rPr>
            <a:t>Dashboard</a:t>
          </a:r>
        </a:p>
      </xdr:txBody>
    </xdr:sp>
    <xdr:clientData/>
  </xdr:twoCellAnchor>
  <xdr:twoCellAnchor>
    <xdr:from>
      <xdr:col>20</xdr:col>
      <xdr:colOff>508000</xdr:colOff>
      <xdr:row>2</xdr:row>
      <xdr:rowOff>81279</xdr:rowOff>
    </xdr:from>
    <xdr:to>
      <xdr:col>21</xdr:col>
      <xdr:colOff>311648</xdr:colOff>
      <xdr:row>4</xdr:row>
      <xdr:rowOff>80542</xdr:rowOff>
    </xdr:to>
    <xdr:sp macro="" textlink="">
      <xdr:nvSpPr>
        <xdr:cNvPr id="67" name="Rectangle 66">
          <a:hlinkClick xmlns:r="http://schemas.openxmlformats.org/officeDocument/2006/relationships" r:id="rId23"/>
          <a:extLst>
            <a:ext uri="{FF2B5EF4-FFF2-40B4-BE49-F238E27FC236}">
              <a16:creationId xmlns:a16="http://schemas.microsoft.com/office/drawing/2014/main" id="{00000000-0008-0000-0400-000043000000}"/>
            </a:ext>
          </a:extLst>
        </xdr:cNvPr>
        <xdr:cNvSpPr/>
      </xdr:nvSpPr>
      <xdr:spPr>
        <a:xfrm>
          <a:off x="21094700" y="1338579"/>
          <a:ext cx="1010148" cy="418363"/>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u="sng"/>
            <a:t>Metrics</a:t>
          </a:r>
        </a:p>
      </xdr:txBody>
    </xdr:sp>
    <xdr:clientData/>
  </xdr:twoCellAnchor>
  <xdr:twoCellAnchor>
    <xdr:from>
      <xdr:col>13</xdr:col>
      <xdr:colOff>332740</xdr:colOff>
      <xdr:row>2</xdr:row>
      <xdr:rowOff>81279</xdr:rowOff>
    </xdr:from>
    <xdr:to>
      <xdr:col>17</xdr:col>
      <xdr:colOff>25400</xdr:colOff>
      <xdr:row>4</xdr:row>
      <xdr:rowOff>80542</xdr:rowOff>
    </xdr:to>
    <xdr:sp macro="" textlink="">
      <xdr:nvSpPr>
        <xdr:cNvPr id="68" name="Rectangle 67">
          <a:hlinkClick xmlns:r="http://schemas.openxmlformats.org/officeDocument/2006/relationships" r:id="rId24"/>
          <a:extLst>
            <a:ext uri="{FF2B5EF4-FFF2-40B4-BE49-F238E27FC236}">
              <a16:creationId xmlns:a16="http://schemas.microsoft.com/office/drawing/2014/main" id="{00000000-0008-0000-0400-000044000000}"/>
            </a:ext>
          </a:extLst>
        </xdr:cNvPr>
        <xdr:cNvSpPr/>
      </xdr:nvSpPr>
      <xdr:spPr>
        <a:xfrm>
          <a:off x="13528040" y="1338579"/>
          <a:ext cx="2207260" cy="418363"/>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2000" u="sng">
              <a:solidFill>
                <a:schemeClr val="bg1"/>
              </a:solidFill>
            </a:rPr>
            <a:t>Combined</a:t>
          </a:r>
          <a:r>
            <a:rPr lang="en-US" sz="2000" u="sng" baseline="0">
              <a:solidFill>
                <a:schemeClr val="bg1">
                  <a:lumMod val="95000"/>
                </a:schemeClr>
              </a:solidFill>
            </a:rPr>
            <a:t> Scenario</a:t>
          </a:r>
          <a:endParaRPr lang="en-US" sz="2000" u="sng">
            <a:solidFill>
              <a:schemeClr val="bg1">
                <a:lumMod val="95000"/>
              </a:schemeClr>
            </a:solidFill>
          </a:endParaRPr>
        </a:p>
      </xdr:txBody>
    </xdr:sp>
    <xdr:clientData/>
  </xdr:twoCellAnchor>
  <xdr:twoCellAnchor>
    <xdr:from>
      <xdr:col>19</xdr:col>
      <xdr:colOff>127000</xdr:colOff>
      <xdr:row>23</xdr:row>
      <xdr:rowOff>25400</xdr:rowOff>
    </xdr:from>
    <xdr:to>
      <xdr:col>22</xdr:col>
      <xdr:colOff>0</xdr:colOff>
      <xdr:row>27</xdr:row>
      <xdr:rowOff>76200</xdr:rowOff>
    </xdr:to>
    <xdr:sp macro="" textlink="">
      <xdr:nvSpPr>
        <xdr:cNvPr id="9" name="Arrow: Striped Right 8">
          <a:hlinkClick xmlns:r="http://schemas.openxmlformats.org/officeDocument/2006/relationships" r:id="rId25"/>
          <a:extLst>
            <a:ext uri="{FF2B5EF4-FFF2-40B4-BE49-F238E27FC236}">
              <a16:creationId xmlns:a16="http://schemas.microsoft.com/office/drawing/2014/main" id="{00000000-0008-0000-0400-000009000000}"/>
            </a:ext>
          </a:extLst>
        </xdr:cNvPr>
        <xdr:cNvSpPr/>
      </xdr:nvSpPr>
      <xdr:spPr>
        <a:xfrm>
          <a:off x="18249900" y="6985000"/>
          <a:ext cx="3860800" cy="1155700"/>
        </a:xfrm>
        <a:prstGeom prst="stripedRightArrow">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u="sng"/>
            <a:t>Edit</a:t>
          </a:r>
          <a:r>
            <a:rPr lang="en-US" sz="3200" u="sng" baseline="0"/>
            <a:t> Assumptions</a:t>
          </a:r>
          <a:endParaRPr lang="en-US" sz="3200" u="sng"/>
        </a:p>
      </xdr:txBody>
    </xdr:sp>
    <xdr:clientData/>
  </xdr:twoCellAnchor>
  <xdr:twoCellAnchor>
    <xdr:from>
      <xdr:col>24</xdr:col>
      <xdr:colOff>482600</xdr:colOff>
      <xdr:row>1</xdr:row>
      <xdr:rowOff>190500</xdr:rowOff>
    </xdr:from>
    <xdr:to>
      <xdr:col>27</xdr:col>
      <xdr:colOff>1063590</xdr:colOff>
      <xdr:row>3</xdr:row>
      <xdr:rowOff>152400</xdr:rowOff>
    </xdr:to>
    <xdr:sp macro="" textlink="">
      <xdr:nvSpPr>
        <xdr:cNvPr id="69" name="Arrow: Striped Right 68">
          <a:hlinkClick xmlns:r="http://schemas.openxmlformats.org/officeDocument/2006/relationships" r:id="rId22"/>
          <a:extLst>
            <a:ext uri="{FF2B5EF4-FFF2-40B4-BE49-F238E27FC236}">
              <a16:creationId xmlns:a16="http://schemas.microsoft.com/office/drawing/2014/main" id="{00000000-0008-0000-0400-000045000000}"/>
            </a:ext>
          </a:extLst>
        </xdr:cNvPr>
        <xdr:cNvSpPr/>
      </xdr:nvSpPr>
      <xdr:spPr>
        <a:xfrm flipH="1">
          <a:off x="25209500" y="317500"/>
          <a:ext cx="2409790" cy="647700"/>
        </a:xfrm>
        <a:prstGeom prst="stripedRightArrow">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u="sng" baseline="0"/>
            <a:t>Back to Dashboard</a:t>
          </a:r>
          <a:endParaRPr lang="en-US" sz="2000" u="sng"/>
        </a:p>
      </xdr:txBody>
    </xdr:sp>
    <xdr:clientData/>
  </xdr:twoCellAnchor>
  <xdr:twoCellAnchor>
    <xdr:from>
      <xdr:col>1</xdr:col>
      <xdr:colOff>0</xdr:colOff>
      <xdr:row>43</xdr:row>
      <xdr:rowOff>0</xdr:rowOff>
    </xdr:from>
    <xdr:to>
      <xdr:col>8</xdr:col>
      <xdr:colOff>0</xdr:colOff>
      <xdr:row>44</xdr:row>
      <xdr:rowOff>0</xdr:rowOff>
    </xdr:to>
    <xdr:sp macro="" textlink="">
      <xdr:nvSpPr>
        <xdr:cNvPr id="13" name="Rectangle 12">
          <a:hlinkClick xmlns:r="http://schemas.openxmlformats.org/officeDocument/2006/relationships" r:id="rId26"/>
          <a:extLst>
            <a:ext uri="{FF2B5EF4-FFF2-40B4-BE49-F238E27FC236}">
              <a16:creationId xmlns:a16="http://schemas.microsoft.com/office/drawing/2014/main" id="{00000000-0008-0000-0400-00000D000000}"/>
            </a:ext>
          </a:extLst>
        </xdr:cNvPr>
        <xdr:cNvSpPr/>
      </xdr:nvSpPr>
      <xdr:spPr>
        <a:xfrm>
          <a:off x="190500" y="14566900"/>
          <a:ext cx="7442200" cy="342900"/>
        </a:xfrm>
        <a:prstGeom prst="rect">
          <a:avLst/>
        </a:prstGeom>
        <a:solidFill>
          <a:schemeClr val="accent6">
            <a:lumMod val="75000"/>
          </a:schemeClr>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u="sng"/>
            <a:t>^ Back to Top</a:t>
          </a:r>
          <a:r>
            <a:rPr lang="en-US" sz="1600" u="sng" baseline="0"/>
            <a:t> ^</a:t>
          </a:r>
          <a:endParaRPr lang="en-US" sz="1600" u="sng"/>
        </a:p>
      </xdr:txBody>
    </xdr:sp>
    <xdr:clientData/>
  </xdr:twoCellAnchor>
  <xdr:twoCellAnchor>
    <xdr:from>
      <xdr:col>9</xdr:col>
      <xdr:colOff>0</xdr:colOff>
      <xdr:row>43</xdr:row>
      <xdr:rowOff>0</xdr:rowOff>
    </xdr:from>
    <xdr:to>
      <xdr:col>15</xdr:col>
      <xdr:colOff>0</xdr:colOff>
      <xdr:row>44</xdr:row>
      <xdr:rowOff>0</xdr:rowOff>
    </xdr:to>
    <xdr:sp macro="" textlink="">
      <xdr:nvSpPr>
        <xdr:cNvPr id="70" name="Rectangle 69">
          <a:hlinkClick xmlns:r="http://schemas.openxmlformats.org/officeDocument/2006/relationships" r:id="rId27"/>
          <a:extLst>
            <a:ext uri="{FF2B5EF4-FFF2-40B4-BE49-F238E27FC236}">
              <a16:creationId xmlns:a16="http://schemas.microsoft.com/office/drawing/2014/main" id="{00000000-0008-0000-0400-000046000000}"/>
            </a:ext>
          </a:extLst>
        </xdr:cNvPr>
        <xdr:cNvSpPr/>
      </xdr:nvSpPr>
      <xdr:spPr>
        <a:xfrm>
          <a:off x="7950200" y="14566900"/>
          <a:ext cx="7213600" cy="342900"/>
        </a:xfrm>
        <a:prstGeom prst="rect">
          <a:avLst/>
        </a:prstGeom>
        <a:solidFill>
          <a:schemeClr val="accent6"/>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u="sng"/>
            <a:t>-- Next</a:t>
          </a:r>
          <a:r>
            <a:rPr lang="en-US" sz="1800" u="sng" baseline="0"/>
            <a:t> --</a:t>
          </a:r>
          <a:endParaRPr lang="en-US" sz="1800" u="sng"/>
        </a:p>
      </xdr:txBody>
    </xdr:sp>
    <xdr:clientData/>
  </xdr:twoCellAnchor>
  <xdr:twoCellAnchor>
    <xdr:from>
      <xdr:col>16</xdr:col>
      <xdr:colOff>0</xdr:colOff>
      <xdr:row>43</xdr:row>
      <xdr:rowOff>0</xdr:rowOff>
    </xdr:from>
    <xdr:to>
      <xdr:col>22</xdr:col>
      <xdr:colOff>0</xdr:colOff>
      <xdr:row>44</xdr:row>
      <xdr:rowOff>0</xdr:rowOff>
    </xdr:to>
    <xdr:sp macro="" textlink="">
      <xdr:nvSpPr>
        <xdr:cNvPr id="71" name="Rectangle 70">
          <a:hlinkClick xmlns:r="http://schemas.openxmlformats.org/officeDocument/2006/relationships" r:id="rId25"/>
          <a:extLst>
            <a:ext uri="{FF2B5EF4-FFF2-40B4-BE49-F238E27FC236}">
              <a16:creationId xmlns:a16="http://schemas.microsoft.com/office/drawing/2014/main" id="{00000000-0008-0000-0400-000047000000}"/>
            </a:ext>
          </a:extLst>
        </xdr:cNvPr>
        <xdr:cNvSpPr/>
      </xdr:nvSpPr>
      <xdr:spPr>
        <a:xfrm>
          <a:off x="15455900" y="14566900"/>
          <a:ext cx="6654800" cy="342900"/>
        </a:xfrm>
        <a:prstGeom prst="rect">
          <a:avLst/>
        </a:prstGeom>
        <a:solidFill>
          <a:srgbClr val="9AC77B"/>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800" u="sng"/>
            <a:t>^ Edit Assumptions ^</a:t>
          </a:r>
        </a:p>
      </xdr:txBody>
    </xdr:sp>
    <xdr:clientData/>
  </xdr:twoCellAnchor>
  <xdr:twoCellAnchor>
    <xdr:from>
      <xdr:col>3</xdr:col>
      <xdr:colOff>133322</xdr:colOff>
      <xdr:row>18</xdr:row>
      <xdr:rowOff>158780</xdr:rowOff>
    </xdr:from>
    <xdr:to>
      <xdr:col>3</xdr:col>
      <xdr:colOff>946173</xdr:colOff>
      <xdr:row>24</xdr:row>
      <xdr:rowOff>133378</xdr:rowOff>
    </xdr:to>
    <xdr:sp macro="" textlink="">
      <xdr:nvSpPr>
        <xdr:cNvPr id="72" name="Arrow: Striped Right 71">
          <a:hlinkClick xmlns:r="http://schemas.openxmlformats.org/officeDocument/2006/relationships" r:id="rId28"/>
          <a:extLst>
            <a:ext uri="{FF2B5EF4-FFF2-40B4-BE49-F238E27FC236}">
              <a16:creationId xmlns:a16="http://schemas.microsoft.com/office/drawing/2014/main" id="{00000000-0008-0000-0400-000048000000}"/>
            </a:ext>
          </a:extLst>
        </xdr:cNvPr>
        <xdr:cNvSpPr/>
      </xdr:nvSpPr>
      <xdr:spPr>
        <a:xfrm rot="5400000">
          <a:off x="406399" y="6146803"/>
          <a:ext cx="1638298" cy="812851"/>
        </a:xfrm>
        <a:prstGeom prst="stripedRightArrow">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200" u="none"/>
            <a:t>Next</a:t>
          </a:r>
        </a:p>
      </xdr:txBody>
    </xdr:sp>
    <xdr:clientData/>
  </xdr:twoCellAnchor>
  <xdr:twoCellAnchor>
    <xdr:from>
      <xdr:col>23</xdr:col>
      <xdr:colOff>114300</xdr:colOff>
      <xdr:row>16</xdr:row>
      <xdr:rowOff>152400</xdr:rowOff>
    </xdr:from>
    <xdr:to>
      <xdr:col>25</xdr:col>
      <xdr:colOff>393700</xdr:colOff>
      <xdr:row>21</xdr:row>
      <xdr:rowOff>12700</xdr:rowOff>
    </xdr:to>
    <xdr:sp macro="" textlink="">
      <xdr:nvSpPr>
        <xdr:cNvPr id="94" name="TextBox 93">
          <a:extLst>
            <a:ext uri="{FF2B5EF4-FFF2-40B4-BE49-F238E27FC236}">
              <a16:creationId xmlns:a16="http://schemas.microsoft.com/office/drawing/2014/main" id="{00000000-0008-0000-0400-00005E000000}"/>
            </a:ext>
          </a:extLst>
        </xdr:cNvPr>
        <xdr:cNvSpPr txBox="1"/>
      </xdr:nvSpPr>
      <xdr:spPr>
        <a:xfrm>
          <a:off x="23876000" y="4635500"/>
          <a:ext cx="1498600" cy="1244600"/>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ln>
                <a:noFill/>
              </a:ln>
              <a:solidFill>
                <a:schemeClr val="tx1"/>
              </a:solidFill>
            </a:rPr>
            <a:t>These fields</a:t>
          </a:r>
          <a:r>
            <a:rPr lang="en-US" sz="1400" baseline="0">
              <a:ln>
                <a:noFill/>
              </a:ln>
              <a:solidFill>
                <a:schemeClr val="tx1"/>
              </a:solidFill>
            </a:rPr>
            <a:t> must be populated in order to output data from the model.</a:t>
          </a:r>
          <a:endParaRPr lang="en-US" sz="1400">
            <a:ln>
              <a:noFill/>
            </a:ln>
            <a:solidFill>
              <a:schemeClr val="tx1"/>
            </a:solidFill>
          </a:endParaRPr>
        </a:p>
      </xdr:txBody>
    </xdr:sp>
    <xdr:clientData/>
  </xdr:twoCellAnchor>
  <xdr:twoCellAnchor>
    <xdr:from>
      <xdr:col>26</xdr:col>
      <xdr:colOff>372534</xdr:colOff>
      <xdr:row>12</xdr:row>
      <xdr:rowOff>0</xdr:rowOff>
    </xdr:from>
    <xdr:to>
      <xdr:col>27</xdr:col>
      <xdr:colOff>12700</xdr:colOff>
      <xdr:row>26</xdr:row>
      <xdr:rowOff>245534</xdr:rowOff>
    </xdr:to>
    <xdr:sp macro="" textlink="">
      <xdr:nvSpPr>
        <xdr:cNvPr id="95" name="Right Brace 94">
          <a:extLst>
            <a:ext uri="{FF2B5EF4-FFF2-40B4-BE49-F238E27FC236}">
              <a16:creationId xmlns:a16="http://schemas.microsoft.com/office/drawing/2014/main" id="{00000000-0008-0000-0400-00005F000000}"/>
            </a:ext>
          </a:extLst>
        </xdr:cNvPr>
        <xdr:cNvSpPr/>
      </xdr:nvSpPr>
      <xdr:spPr>
        <a:xfrm flipH="1">
          <a:off x="26318634" y="3352800"/>
          <a:ext cx="249766" cy="4144434"/>
        </a:xfrm>
        <a:prstGeom prst="rightBrace">
          <a:avLst>
            <a:gd name="adj1" fmla="val 10483"/>
            <a:gd name="adj2" fmla="val 48529"/>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25</xdr:col>
      <xdr:colOff>393700</xdr:colOff>
      <xdr:row>18</xdr:row>
      <xdr:rowOff>215900</xdr:rowOff>
    </xdr:from>
    <xdr:to>
      <xdr:col>26</xdr:col>
      <xdr:colOff>372534</xdr:colOff>
      <xdr:row>19</xdr:row>
      <xdr:rowOff>42752</xdr:rowOff>
    </xdr:to>
    <xdr:cxnSp macro="">
      <xdr:nvCxnSpPr>
        <xdr:cNvPr id="96" name="Straight Connector 95">
          <a:extLst>
            <a:ext uri="{FF2B5EF4-FFF2-40B4-BE49-F238E27FC236}">
              <a16:creationId xmlns:a16="http://schemas.microsoft.com/office/drawing/2014/main" id="{00000000-0008-0000-0400-000060000000}"/>
            </a:ext>
          </a:extLst>
        </xdr:cNvPr>
        <xdr:cNvCxnSpPr>
          <a:cxnSpLocks/>
          <a:stCxn id="95" idx="1"/>
          <a:endCxn id="94" idx="3"/>
        </xdr:cNvCxnSpPr>
      </xdr:nvCxnSpPr>
      <xdr:spPr>
        <a:xfrm flipH="1" flipV="1">
          <a:off x="25730200" y="5257800"/>
          <a:ext cx="588434" cy="106252"/>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25</xdr:col>
      <xdr:colOff>376767</xdr:colOff>
      <xdr:row>16</xdr:row>
      <xdr:rowOff>12700</xdr:rowOff>
    </xdr:from>
    <xdr:to>
      <xdr:col>25</xdr:col>
      <xdr:colOff>376767</xdr:colOff>
      <xdr:row>21</xdr:row>
      <xdr:rowOff>114300</xdr:rowOff>
    </xdr:to>
    <xdr:cxnSp macro="">
      <xdr:nvCxnSpPr>
        <xdr:cNvPr id="97" name="Straight Connector 96">
          <a:extLst>
            <a:ext uri="{FF2B5EF4-FFF2-40B4-BE49-F238E27FC236}">
              <a16:creationId xmlns:a16="http://schemas.microsoft.com/office/drawing/2014/main" id="{00000000-0008-0000-0400-000061000000}"/>
            </a:ext>
          </a:extLst>
        </xdr:cNvPr>
        <xdr:cNvCxnSpPr/>
      </xdr:nvCxnSpPr>
      <xdr:spPr>
        <a:xfrm>
          <a:off x="25357667" y="4495800"/>
          <a:ext cx="0" cy="1485900"/>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533400</xdr:colOff>
      <xdr:row>28</xdr:row>
      <xdr:rowOff>127000</xdr:rowOff>
    </xdr:from>
    <xdr:to>
      <xdr:col>28</xdr:col>
      <xdr:colOff>139700</xdr:colOff>
      <xdr:row>30</xdr:row>
      <xdr:rowOff>76200</xdr:rowOff>
    </xdr:to>
    <xdr:sp macro="" textlink="">
      <xdr:nvSpPr>
        <xdr:cNvPr id="115" name="Arrow: Striped Right 114">
          <a:hlinkClick xmlns:r="http://schemas.openxmlformats.org/officeDocument/2006/relationships" r:id="rId22"/>
          <a:extLst>
            <a:ext uri="{FF2B5EF4-FFF2-40B4-BE49-F238E27FC236}">
              <a16:creationId xmlns:a16="http://schemas.microsoft.com/office/drawing/2014/main" id="{00000000-0008-0000-0400-000073000000}"/>
            </a:ext>
          </a:extLst>
        </xdr:cNvPr>
        <xdr:cNvSpPr/>
      </xdr:nvSpPr>
      <xdr:spPr>
        <a:xfrm flipH="1">
          <a:off x="25260300" y="7937500"/>
          <a:ext cx="2552700" cy="749300"/>
        </a:xfrm>
        <a:prstGeom prst="stripedRightArrow">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u="sng" baseline="0"/>
            <a:t>Back to Dashboard</a:t>
          </a:r>
          <a:endParaRPr lang="en-US" sz="2000" u="sng"/>
        </a:p>
      </xdr:txBody>
    </xdr:sp>
    <xdr:clientData/>
  </xdr:twoCellAnchor>
  <xdr:twoCellAnchor>
    <xdr:from>
      <xdr:col>1</xdr:col>
      <xdr:colOff>0</xdr:colOff>
      <xdr:row>107</xdr:row>
      <xdr:rowOff>0</xdr:rowOff>
    </xdr:from>
    <xdr:to>
      <xdr:col>8</xdr:col>
      <xdr:colOff>0</xdr:colOff>
      <xdr:row>108</xdr:row>
      <xdr:rowOff>0</xdr:rowOff>
    </xdr:to>
    <xdr:sp macro="" textlink="">
      <xdr:nvSpPr>
        <xdr:cNvPr id="116" name="Rectangle 115">
          <a:hlinkClick xmlns:r="http://schemas.openxmlformats.org/officeDocument/2006/relationships" r:id="rId26"/>
          <a:extLst>
            <a:ext uri="{FF2B5EF4-FFF2-40B4-BE49-F238E27FC236}">
              <a16:creationId xmlns:a16="http://schemas.microsoft.com/office/drawing/2014/main" id="{00000000-0008-0000-0400-000074000000}"/>
            </a:ext>
          </a:extLst>
        </xdr:cNvPr>
        <xdr:cNvSpPr/>
      </xdr:nvSpPr>
      <xdr:spPr>
        <a:xfrm>
          <a:off x="190500" y="25768300"/>
          <a:ext cx="7442200" cy="342900"/>
        </a:xfrm>
        <a:prstGeom prst="rect">
          <a:avLst/>
        </a:prstGeom>
        <a:solidFill>
          <a:schemeClr val="accent6">
            <a:lumMod val="75000"/>
          </a:schemeClr>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u="sng"/>
            <a:t>^ Back to Top</a:t>
          </a:r>
          <a:r>
            <a:rPr lang="en-US" sz="1600" u="sng" baseline="0"/>
            <a:t> ^</a:t>
          </a:r>
          <a:endParaRPr lang="en-US" sz="1600" u="sng"/>
        </a:p>
      </xdr:txBody>
    </xdr:sp>
    <xdr:clientData/>
  </xdr:twoCellAnchor>
  <xdr:twoCellAnchor>
    <xdr:from>
      <xdr:col>9</xdr:col>
      <xdr:colOff>0</xdr:colOff>
      <xdr:row>107</xdr:row>
      <xdr:rowOff>0</xdr:rowOff>
    </xdr:from>
    <xdr:to>
      <xdr:col>15</xdr:col>
      <xdr:colOff>0</xdr:colOff>
      <xdr:row>108</xdr:row>
      <xdr:rowOff>0</xdr:rowOff>
    </xdr:to>
    <xdr:sp macro="" textlink="">
      <xdr:nvSpPr>
        <xdr:cNvPr id="117" name="Rectangle 116">
          <a:hlinkClick xmlns:r="http://schemas.openxmlformats.org/officeDocument/2006/relationships" r:id="rId29"/>
          <a:extLst>
            <a:ext uri="{FF2B5EF4-FFF2-40B4-BE49-F238E27FC236}">
              <a16:creationId xmlns:a16="http://schemas.microsoft.com/office/drawing/2014/main" id="{00000000-0008-0000-0400-000075000000}"/>
            </a:ext>
          </a:extLst>
        </xdr:cNvPr>
        <xdr:cNvSpPr/>
      </xdr:nvSpPr>
      <xdr:spPr>
        <a:xfrm>
          <a:off x="7950200" y="25768300"/>
          <a:ext cx="7213600" cy="342900"/>
        </a:xfrm>
        <a:prstGeom prst="rect">
          <a:avLst/>
        </a:prstGeom>
        <a:solidFill>
          <a:schemeClr val="accent6"/>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u="sng"/>
            <a:t>-- Next</a:t>
          </a:r>
          <a:r>
            <a:rPr lang="en-US" sz="1800" u="sng" baseline="0"/>
            <a:t> --</a:t>
          </a:r>
          <a:endParaRPr lang="en-US" sz="1800" u="sng"/>
        </a:p>
      </xdr:txBody>
    </xdr:sp>
    <xdr:clientData/>
  </xdr:twoCellAnchor>
  <xdr:twoCellAnchor>
    <xdr:from>
      <xdr:col>16</xdr:col>
      <xdr:colOff>25400</xdr:colOff>
      <xdr:row>107</xdr:row>
      <xdr:rowOff>0</xdr:rowOff>
    </xdr:from>
    <xdr:to>
      <xdr:col>22</xdr:col>
      <xdr:colOff>25400</xdr:colOff>
      <xdr:row>108</xdr:row>
      <xdr:rowOff>0</xdr:rowOff>
    </xdr:to>
    <xdr:sp macro="" textlink="">
      <xdr:nvSpPr>
        <xdr:cNvPr id="118" name="Rectangle 117">
          <a:hlinkClick xmlns:r="http://schemas.openxmlformats.org/officeDocument/2006/relationships" r:id="rId25"/>
          <a:extLst>
            <a:ext uri="{FF2B5EF4-FFF2-40B4-BE49-F238E27FC236}">
              <a16:creationId xmlns:a16="http://schemas.microsoft.com/office/drawing/2014/main" id="{00000000-0008-0000-0400-000076000000}"/>
            </a:ext>
          </a:extLst>
        </xdr:cNvPr>
        <xdr:cNvSpPr/>
      </xdr:nvSpPr>
      <xdr:spPr>
        <a:xfrm>
          <a:off x="15481300" y="25768300"/>
          <a:ext cx="6654800" cy="342900"/>
        </a:xfrm>
        <a:prstGeom prst="rect">
          <a:avLst/>
        </a:prstGeom>
        <a:solidFill>
          <a:srgbClr val="9AC77B"/>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800" u="sng"/>
            <a:t>^ Edit Assumptions ^</a:t>
          </a:r>
        </a:p>
      </xdr:txBody>
    </xdr:sp>
    <xdr:clientData/>
  </xdr:twoCellAnchor>
  <xdr:twoCellAnchor>
    <xdr:from>
      <xdr:col>1</xdr:col>
      <xdr:colOff>0</xdr:colOff>
      <xdr:row>147</xdr:row>
      <xdr:rowOff>0</xdr:rowOff>
    </xdr:from>
    <xdr:to>
      <xdr:col>8</xdr:col>
      <xdr:colOff>0</xdr:colOff>
      <xdr:row>148</xdr:row>
      <xdr:rowOff>0</xdr:rowOff>
    </xdr:to>
    <xdr:sp macro="" textlink="">
      <xdr:nvSpPr>
        <xdr:cNvPr id="119" name="Rectangle 118">
          <a:hlinkClick xmlns:r="http://schemas.openxmlformats.org/officeDocument/2006/relationships" r:id="rId26"/>
          <a:extLst>
            <a:ext uri="{FF2B5EF4-FFF2-40B4-BE49-F238E27FC236}">
              <a16:creationId xmlns:a16="http://schemas.microsoft.com/office/drawing/2014/main" id="{00000000-0008-0000-0400-000077000000}"/>
            </a:ext>
          </a:extLst>
        </xdr:cNvPr>
        <xdr:cNvSpPr/>
      </xdr:nvSpPr>
      <xdr:spPr>
        <a:xfrm>
          <a:off x="190500" y="33566100"/>
          <a:ext cx="7442200" cy="190500"/>
        </a:xfrm>
        <a:prstGeom prst="rect">
          <a:avLst/>
        </a:prstGeom>
        <a:solidFill>
          <a:schemeClr val="accent6">
            <a:lumMod val="75000"/>
          </a:schemeClr>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u="sng"/>
            <a:t>^ Back to Top</a:t>
          </a:r>
          <a:r>
            <a:rPr lang="en-US" sz="1600" u="sng" baseline="0"/>
            <a:t> ^</a:t>
          </a:r>
          <a:endParaRPr lang="en-US" sz="1600" u="sng"/>
        </a:p>
      </xdr:txBody>
    </xdr:sp>
    <xdr:clientData/>
  </xdr:twoCellAnchor>
  <xdr:twoCellAnchor>
    <xdr:from>
      <xdr:col>16</xdr:col>
      <xdr:colOff>0</xdr:colOff>
      <xdr:row>147</xdr:row>
      <xdr:rowOff>0</xdr:rowOff>
    </xdr:from>
    <xdr:to>
      <xdr:col>22</xdr:col>
      <xdr:colOff>0</xdr:colOff>
      <xdr:row>148</xdr:row>
      <xdr:rowOff>0</xdr:rowOff>
    </xdr:to>
    <xdr:sp macro="" textlink="">
      <xdr:nvSpPr>
        <xdr:cNvPr id="120" name="Rectangle 119">
          <a:hlinkClick xmlns:r="http://schemas.openxmlformats.org/officeDocument/2006/relationships" r:id="rId25"/>
          <a:extLst>
            <a:ext uri="{FF2B5EF4-FFF2-40B4-BE49-F238E27FC236}">
              <a16:creationId xmlns:a16="http://schemas.microsoft.com/office/drawing/2014/main" id="{00000000-0008-0000-0400-000078000000}"/>
            </a:ext>
          </a:extLst>
        </xdr:cNvPr>
        <xdr:cNvSpPr/>
      </xdr:nvSpPr>
      <xdr:spPr>
        <a:xfrm>
          <a:off x="15455900" y="33566100"/>
          <a:ext cx="6654800" cy="190500"/>
        </a:xfrm>
        <a:prstGeom prst="rect">
          <a:avLst/>
        </a:prstGeom>
        <a:solidFill>
          <a:srgbClr val="9AC77B"/>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800" u="sng"/>
            <a:t>^ Edit Assumptions ^</a:t>
          </a:r>
        </a:p>
      </xdr:txBody>
    </xdr:sp>
    <xdr:clientData/>
  </xdr:twoCellAnchor>
  <xdr:twoCellAnchor editAs="oneCell">
    <xdr:from>
      <xdr:col>5</xdr:col>
      <xdr:colOff>2425700</xdr:colOff>
      <xdr:row>6</xdr:row>
      <xdr:rowOff>136939</xdr:rowOff>
    </xdr:from>
    <xdr:to>
      <xdr:col>9</xdr:col>
      <xdr:colOff>152400</xdr:colOff>
      <xdr:row>14</xdr:row>
      <xdr:rowOff>101600</xdr:rowOff>
    </xdr:to>
    <xdr:pic>
      <xdr:nvPicPr>
        <xdr:cNvPr id="121" name="Graphic 120" descr="Latte Cup with solid fill">
          <a:extLst>
            <a:ext uri="{FF2B5EF4-FFF2-40B4-BE49-F238E27FC236}">
              <a16:creationId xmlns:a16="http://schemas.microsoft.com/office/drawing/2014/main" id="{00000000-0008-0000-0400-000079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 uri="{96DAC541-7B7A-43D3-8B79-37D633B846F1}">
              <asvg:svgBlip xmlns:asvg="http://schemas.microsoft.com/office/drawing/2016/SVG/main" r:embed="rId30"/>
            </a:ext>
          </a:extLst>
        </a:blip>
        <a:stretch>
          <a:fillRect/>
        </a:stretch>
      </xdr:blipFill>
      <xdr:spPr>
        <a:xfrm>
          <a:off x="5638800" y="2041939"/>
          <a:ext cx="2463800" cy="2517361"/>
        </a:xfrm>
        <a:prstGeom prst="rect">
          <a:avLst/>
        </a:prstGeom>
      </xdr:spPr>
    </xdr:pic>
    <xdr:clientData/>
  </xdr:twoCellAnchor>
  <xdr:twoCellAnchor editAs="oneCell">
    <xdr:from>
      <xdr:col>13</xdr:col>
      <xdr:colOff>1202987</xdr:colOff>
      <xdr:row>4</xdr:row>
      <xdr:rowOff>119380</xdr:rowOff>
    </xdr:from>
    <xdr:to>
      <xdr:col>18</xdr:col>
      <xdr:colOff>165100</xdr:colOff>
      <xdr:row>13</xdr:row>
      <xdr:rowOff>157480</xdr:rowOff>
    </xdr:to>
    <xdr:pic>
      <xdr:nvPicPr>
        <xdr:cNvPr id="122" name="Graphic 121" descr="Coffee with solid fill">
          <a:extLst>
            <a:ext uri="{FF2B5EF4-FFF2-40B4-BE49-F238E27FC236}">
              <a16:creationId xmlns:a16="http://schemas.microsoft.com/office/drawing/2014/main" id="{00000000-0008-0000-0400-00007A000000}"/>
            </a:ext>
          </a:extLst>
        </xdr:cNvPr>
        <xdr:cNvPicPr>
          <a:picLocks noChangeAspect="1"/>
        </xdr:cNvPicPr>
      </xdr:nvPicPr>
      <xdr:blipFill>
        <a:blip xmlns:r="http://schemas.openxmlformats.org/officeDocument/2006/relationships" r:embed="rId31">
          <a:extLst>
            <a:ext uri="{28A0092B-C50C-407E-A947-70E740481C1C}">
              <a14:useLocalDpi xmlns:a14="http://schemas.microsoft.com/office/drawing/2010/main" val="0"/>
            </a:ext>
            <a:ext uri="{96DAC541-7B7A-43D3-8B79-37D633B846F1}">
              <asvg:svgBlip xmlns:asvg="http://schemas.microsoft.com/office/drawing/2016/SVG/main" r:embed="rId32"/>
            </a:ext>
          </a:extLst>
        </a:blip>
        <a:stretch>
          <a:fillRect/>
        </a:stretch>
      </xdr:blipFill>
      <xdr:spPr>
        <a:xfrm>
          <a:off x="14398287" y="1795780"/>
          <a:ext cx="2607013" cy="2552700"/>
        </a:xfrm>
        <a:prstGeom prst="rect">
          <a:avLst/>
        </a:prstGeom>
      </xdr:spPr>
    </xdr:pic>
    <xdr:clientData/>
  </xdr:twoCellAnchor>
  <mc:AlternateContent xmlns:mc="http://schemas.openxmlformats.org/markup-compatibility/2006">
    <mc:Choice xmlns:a14="http://schemas.microsoft.com/office/drawing/2010/main" Requires="a14">
      <xdr:twoCellAnchor>
        <xdr:from>
          <xdr:col>19</xdr:col>
          <xdr:colOff>800100</xdr:colOff>
          <xdr:row>55</xdr:row>
          <xdr:rowOff>57150</xdr:rowOff>
        </xdr:from>
        <xdr:to>
          <xdr:col>21</xdr:col>
          <xdr:colOff>28575</xdr:colOff>
          <xdr:row>60</xdr:row>
          <xdr:rowOff>0</xdr:rowOff>
        </xdr:to>
        <xdr:sp macro="" textlink="">
          <xdr:nvSpPr>
            <xdr:cNvPr id="15504" name="Button 144" hidden="1">
              <a:extLst>
                <a:ext uri="{63B3BB69-23CF-44E3-9099-C40C66FF867C}">
                  <a14:compatExt spid="_x0000_s15504"/>
                </a:ext>
                <a:ext uri="{FF2B5EF4-FFF2-40B4-BE49-F238E27FC236}">
                  <a16:creationId xmlns:a16="http://schemas.microsoft.com/office/drawing/2014/main" id="{00000000-0008-0000-0400-000090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ea typeface="Calibri"/>
                  <a:cs typeface="Calibri"/>
                </a:rPr>
                <a:t>Reload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552450</xdr:colOff>
          <xdr:row>138</xdr:row>
          <xdr:rowOff>57150</xdr:rowOff>
        </xdr:from>
        <xdr:to>
          <xdr:col>20</xdr:col>
          <xdr:colOff>981075</xdr:colOff>
          <xdr:row>142</xdr:row>
          <xdr:rowOff>171450</xdr:rowOff>
        </xdr:to>
        <xdr:sp macro="" textlink="">
          <xdr:nvSpPr>
            <xdr:cNvPr id="15505" name="Button 145" hidden="1">
              <a:extLst>
                <a:ext uri="{63B3BB69-23CF-44E3-9099-C40C66FF867C}">
                  <a14:compatExt spid="_x0000_s15505"/>
                </a:ext>
                <a:ext uri="{FF2B5EF4-FFF2-40B4-BE49-F238E27FC236}">
                  <a16:creationId xmlns:a16="http://schemas.microsoft.com/office/drawing/2014/main" id="{00000000-0008-0000-0400-000091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ea typeface="Calibri"/>
                  <a:cs typeface="Calibri"/>
                </a:rPr>
                <a:t>Reload</a:t>
              </a:r>
            </a:p>
          </xdr:txBody>
        </xdr:sp>
        <xdr:clientData fPrintsWithSheet="0"/>
      </xdr:twoCellAnchor>
    </mc:Choice>
    <mc:Fallback/>
  </mc:AlternateContent>
  <xdr:twoCellAnchor>
    <xdr:from>
      <xdr:col>2</xdr:col>
      <xdr:colOff>88900</xdr:colOff>
      <xdr:row>50</xdr:row>
      <xdr:rowOff>88900</xdr:rowOff>
    </xdr:from>
    <xdr:to>
      <xdr:col>4</xdr:col>
      <xdr:colOff>965200</xdr:colOff>
      <xdr:row>70</xdr:row>
      <xdr:rowOff>152400</xdr:rowOff>
    </xdr:to>
    <xdr:sp macro="" textlink="">
      <xdr:nvSpPr>
        <xdr:cNvPr id="130" name="TextBox 129">
          <a:extLst>
            <a:ext uri="{FF2B5EF4-FFF2-40B4-BE49-F238E27FC236}">
              <a16:creationId xmlns:a16="http://schemas.microsoft.com/office/drawing/2014/main" id="{00000000-0008-0000-0400-000082000000}"/>
            </a:ext>
          </a:extLst>
        </xdr:cNvPr>
        <xdr:cNvSpPr txBox="1"/>
      </xdr:nvSpPr>
      <xdr:spPr>
        <a:xfrm>
          <a:off x="533400" y="15532100"/>
          <a:ext cx="2247900" cy="3619500"/>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400">
              <a:ln>
                <a:noFill/>
              </a:ln>
              <a:solidFill>
                <a:schemeClr val="tx1"/>
              </a:solidFill>
            </a:rPr>
            <a:t>This</a:t>
          </a:r>
          <a:r>
            <a:rPr lang="en-US" sz="1400" baseline="0">
              <a:ln>
                <a:noFill/>
              </a:ln>
              <a:solidFill>
                <a:schemeClr val="tx1"/>
              </a:solidFill>
            </a:rPr>
            <a:t> diagram may appear to change drastically with each reload, but this is simply due to the nature of the demand increase probability calculation.</a:t>
          </a:r>
        </a:p>
        <a:p>
          <a:endParaRPr lang="en-US" sz="1400" baseline="0">
            <a:ln>
              <a:noFill/>
            </a:ln>
            <a:solidFill>
              <a:schemeClr val="tx1"/>
            </a:solidFill>
          </a:endParaRPr>
        </a:p>
        <a:p>
          <a:r>
            <a:rPr lang="en-US" sz="1400" baseline="0">
              <a:ln>
                <a:noFill/>
              </a:ln>
              <a:solidFill>
                <a:schemeClr val="tx1"/>
              </a:solidFill>
            </a:rPr>
            <a:t>Because each bin of outcomes is so differentiated, the chart can sometimes change how it identifies which values are to be outliers and which are to be included in the boxes and whiskers.</a:t>
          </a:r>
          <a:endParaRPr lang="en-US" sz="1400">
            <a:ln>
              <a:noFill/>
            </a:ln>
            <a:solidFill>
              <a:schemeClr val="tx1"/>
            </a:solidFill>
          </a:endParaRPr>
        </a:p>
      </xdr:txBody>
    </xdr:sp>
    <xdr:clientData/>
  </xdr:twoCellAnchor>
  <xdr:twoCellAnchor>
    <xdr:from>
      <xdr:col>4</xdr:col>
      <xdr:colOff>965200</xdr:colOff>
      <xdr:row>59</xdr:row>
      <xdr:rowOff>93552</xdr:rowOff>
    </xdr:from>
    <xdr:to>
      <xdr:col>5</xdr:col>
      <xdr:colOff>118534</xdr:colOff>
      <xdr:row>60</xdr:row>
      <xdr:rowOff>120650</xdr:rowOff>
    </xdr:to>
    <xdr:cxnSp macro="">
      <xdr:nvCxnSpPr>
        <xdr:cNvPr id="131" name="Straight Connector 130">
          <a:extLst>
            <a:ext uri="{FF2B5EF4-FFF2-40B4-BE49-F238E27FC236}">
              <a16:creationId xmlns:a16="http://schemas.microsoft.com/office/drawing/2014/main" id="{00000000-0008-0000-0400-000083000000}"/>
            </a:ext>
          </a:extLst>
        </xdr:cNvPr>
        <xdr:cNvCxnSpPr>
          <a:cxnSpLocks/>
          <a:endCxn id="130" idx="3"/>
        </xdr:cNvCxnSpPr>
      </xdr:nvCxnSpPr>
      <xdr:spPr>
        <a:xfrm flipH="1">
          <a:off x="2781300" y="17136952"/>
          <a:ext cx="550334" cy="204898"/>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948267</xdr:colOff>
      <xdr:row>50</xdr:row>
      <xdr:rowOff>139700</xdr:rowOff>
    </xdr:from>
    <xdr:to>
      <xdr:col>4</xdr:col>
      <xdr:colOff>948267</xdr:colOff>
      <xdr:row>70</xdr:row>
      <xdr:rowOff>88900</xdr:rowOff>
    </xdr:to>
    <xdr:cxnSp macro="">
      <xdr:nvCxnSpPr>
        <xdr:cNvPr id="132" name="Straight Connector 131">
          <a:extLst>
            <a:ext uri="{FF2B5EF4-FFF2-40B4-BE49-F238E27FC236}">
              <a16:creationId xmlns:a16="http://schemas.microsoft.com/office/drawing/2014/main" id="{00000000-0008-0000-0400-000084000000}"/>
            </a:ext>
          </a:extLst>
        </xdr:cNvPr>
        <xdr:cNvCxnSpPr/>
      </xdr:nvCxnSpPr>
      <xdr:spPr>
        <a:xfrm>
          <a:off x="2764367" y="15582900"/>
          <a:ext cx="0" cy="3505200"/>
        </a:xfrm>
        <a:prstGeom prst="line">
          <a:avLst/>
        </a:prstGeom>
        <a:ln w="19050">
          <a:solidFill>
            <a:schemeClr val="accent6"/>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203200</xdr:colOff>
      <xdr:row>76</xdr:row>
      <xdr:rowOff>63500</xdr:rowOff>
    </xdr:from>
    <xdr:to>
      <xdr:col>9</xdr:col>
      <xdr:colOff>139700</xdr:colOff>
      <xdr:row>105</xdr:row>
      <xdr:rowOff>38100</xdr:rowOff>
    </xdr:to>
    <xdr:graphicFrame macro="">
      <xdr:nvGraphicFramePr>
        <xdr:cNvPr id="10" name="Chart 9">
          <a:extLst>
            <a:ext uri="{FF2B5EF4-FFF2-40B4-BE49-F238E27FC236}">
              <a16:creationId xmlns:a16="http://schemas.microsoft.com/office/drawing/2014/main" id="{00000000-0008-0000-04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1</xdr:col>
      <xdr:colOff>0</xdr:colOff>
      <xdr:row>74</xdr:row>
      <xdr:rowOff>0</xdr:rowOff>
    </xdr:from>
    <xdr:to>
      <xdr:col>8</xdr:col>
      <xdr:colOff>0</xdr:colOff>
      <xdr:row>75</xdr:row>
      <xdr:rowOff>0</xdr:rowOff>
    </xdr:to>
    <xdr:sp macro="" textlink="">
      <xdr:nvSpPr>
        <xdr:cNvPr id="90" name="Rectangle 89">
          <a:hlinkClick xmlns:r="http://schemas.openxmlformats.org/officeDocument/2006/relationships" r:id="rId26"/>
          <a:extLst>
            <a:ext uri="{FF2B5EF4-FFF2-40B4-BE49-F238E27FC236}">
              <a16:creationId xmlns:a16="http://schemas.microsoft.com/office/drawing/2014/main" id="{00000000-0008-0000-0400-00005A000000}"/>
            </a:ext>
          </a:extLst>
        </xdr:cNvPr>
        <xdr:cNvSpPr/>
      </xdr:nvSpPr>
      <xdr:spPr>
        <a:xfrm>
          <a:off x="190500" y="23812500"/>
          <a:ext cx="7442200" cy="342900"/>
        </a:xfrm>
        <a:prstGeom prst="rect">
          <a:avLst/>
        </a:prstGeom>
        <a:solidFill>
          <a:schemeClr val="accent6">
            <a:lumMod val="75000"/>
          </a:schemeClr>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600" u="sng"/>
            <a:t>^ Back to Top</a:t>
          </a:r>
          <a:r>
            <a:rPr lang="en-US" sz="1600" u="sng" baseline="0"/>
            <a:t> ^</a:t>
          </a:r>
          <a:endParaRPr lang="en-US" sz="1600" u="sng"/>
        </a:p>
      </xdr:txBody>
    </xdr:sp>
    <xdr:clientData/>
  </xdr:twoCellAnchor>
  <xdr:twoCellAnchor>
    <xdr:from>
      <xdr:col>9</xdr:col>
      <xdr:colOff>0</xdr:colOff>
      <xdr:row>74</xdr:row>
      <xdr:rowOff>0</xdr:rowOff>
    </xdr:from>
    <xdr:to>
      <xdr:col>15</xdr:col>
      <xdr:colOff>0</xdr:colOff>
      <xdr:row>75</xdr:row>
      <xdr:rowOff>0</xdr:rowOff>
    </xdr:to>
    <xdr:sp macro="" textlink="">
      <xdr:nvSpPr>
        <xdr:cNvPr id="91" name="Rectangle 90">
          <a:hlinkClick xmlns:r="http://schemas.openxmlformats.org/officeDocument/2006/relationships" r:id="rId34"/>
          <a:extLst>
            <a:ext uri="{FF2B5EF4-FFF2-40B4-BE49-F238E27FC236}">
              <a16:creationId xmlns:a16="http://schemas.microsoft.com/office/drawing/2014/main" id="{00000000-0008-0000-0400-00005B000000}"/>
            </a:ext>
          </a:extLst>
        </xdr:cNvPr>
        <xdr:cNvSpPr/>
      </xdr:nvSpPr>
      <xdr:spPr>
        <a:xfrm>
          <a:off x="7950200" y="23812500"/>
          <a:ext cx="7213600" cy="342900"/>
        </a:xfrm>
        <a:prstGeom prst="rect">
          <a:avLst/>
        </a:prstGeom>
        <a:solidFill>
          <a:schemeClr val="accent6"/>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800" u="sng"/>
            <a:t>-- Next</a:t>
          </a:r>
          <a:r>
            <a:rPr lang="en-US" sz="1800" u="sng" baseline="0"/>
            <a:t> --</a:t>
          </a:r>
          <a:endParaRPr lang="en-US" sz="1800" u="sng"/>
        </a:p>
      </xdr:txBody>
    </xdr:sp>
    <xdr:clientData/>
  </xdr:twoCellAnchor>
  <xdr:twoCellAnchor>
    <xdr:from>
      <xdr:col>16</xdr:col>
      <xdr:colOff>25400</xdr:colOff>
      <xdr:row>74</xdr:row>
      <xdr:rowOff>0</xdr:rowOff>
    </xdr:from>
    <xdr:to>
      <xdr:col>22</xdr:col>
      <xdr:colOff>25400</xdr:colOff>
      <xdr:row>75</xdr:row>
      <xdr:rowOff>0</xdr:rowOff>
    </xdr:to>
    <xdr:sp macro="" textlink="">
      <xdr:nvSpPr>
        <xdr:cNvPr id="92" name="Rectangle 91">
          <a:hlinkClick xmlns:r="http://schemas.openxmlformats.org/officeDocument/2006/relationships" r:id="rId25"/>
          <a:extLst>
            <a:ext uri="{FF2B5EF4-FFF2-40B4-BE49-F238E27FC236}">
              <a16:creationId xmlns:a16="http://schemas.microsoft.com/office/drawing/2014/main" id="{00000000-0008-0000-0400-00005C000000}"/>
            </a:ext>
          </a:extLst>
        </xdr:cNvPr>
        <xdr:cNvSpPr/>
      </xdr:nvSpPr>
      <xdr:spPr>
        <a:xfrm>
          <a:off x="15481300" y="23812500"/>
          <a:ext cx="6654800" cy="342900"/>
        </a:xfrm>
        <a:prstGeom prst="rect">
          <a:avLst/>
        </a:prstGeom>
        <a:solidFill>
          <a:srgbClr val="9AC77B"/>
        </a:solidFill>
        <a:ln w="190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r"/>
          <a:r>
            <a:rPr lang="en-US" sz="1800" u="sng"/>
            <a:t>^ Edit Assumptions ^</a:t>
          </a:r>
        </a:p>
      </xdr:txBody>
    </xdr:sp>
    <xdr:clientData/>
  </xdr:twoCellAnchor>
  <xdr:twoCellAnchor>
    <xdr:from>
      <xdr:col>13</xdr:col>
      <xdr:colOff>1638300</xdr:colOff>
      <xdr:row>76</xdr:row>
      <xdr:rowOff>127000</xdr:rowOff>
    </xdr:from>
    <xdr:to>
      <xdr:col>22</xdr:col>
      <xdr:colOff>50800</xdr:colOff>
      <xdr:row>104</xdr:row>
      <xdr:rowOff>127000</xdr:rowOff>
    </xdr:to>
    <xdr:graphicFrame macro="">
      <xdr:nvGraphicFramePr>
        <xdr:cNvPr id="93" name="Chart 92">
          <a:extLst>
            <a:ext uri="{FF2B5EF4-FFF2-40B4-BE49-F238E27FC236}">
              <a16:creationId xmlns:a16="http://schemas.microsoft.com/office/drawing/2014/main" id="{00000000-0008-0000-0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10</xdr:col>
      <xdr:colOff>228600</xdr:colOff>
      <xdr:row>79</xdr:row>
      <xdr:rowOff>38100</xdr:rowOff>
    </xdr:from>
    <xdr:to>
      <xdr:col>13</xdr:col>
      <xdr:colOff>977900</xdr:colOff>
      <xdr:row>95</xdr:row>
      <xdr:rowOff>114300</xdr:rowOff>
    </xdr:to>
    <xdr:sp macro="" textlink="">
      <xdr:nvSpPr>
        <xdr:cNvPr id="98" name="TextBox 97">
          <a:extLst>
            <a:ext uri="{FF2B5EF4-FFF2-40B4-BE49-F238E27FC236}">
              <a16:creationId xmlns:a16="http://schemas.microsoft.com/office/drawing/2014/main" id="{00000000-0008-0000-0400-000062000000}"/>
            </a:ext>
          </a:extLst>
        </xdr:cNvPr>
        <xdr:cNvSpPr txBox="1"/>
      </xdr:nvSpPr>
      <xdr:spPr>
        <a:xfrm>
          <a:off x="8432800" y="20815300"/>
          <a:ext cx="5740400" cy="2921000"/>
        </a:xfrm>
        <a:prstGeom prst="rect">
          <a:avLst/>
        </a:prstGeom>
        <a:solidFill>
          <a:schemeClr val="bg1"/>
        </a:solidFill>
        <a:ln w="3810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1800">
              <a:solidFill>
                <a:schemeClr val="tx1"/>
              </a:solidFill>
            </a:rPr>
            <a:t>The diagram</a:t>
          </a:r>
          <a:r>
            <a:rPr lang="en-US" sz="1800" baseline="0">
              <a:solidFill>
                <a:schemeClr val="tx1"/>
              </a:solidFill>
            </a:rPr>
            <a:t> on the left displays the </a:t>
          </a:r>
          <a:r>
            <a:rPr lang="en-US" sz="1800" b="1" baseline="0">
              <a:solidFill>
                <a:schemeClr val="tx1"/>
              </a:solidFill>
            </a:rPr>
            <a:t>revenue</a:t>
          </a:r>
          <a:r>
            <a:rPr lang="en-US" sz="1800" baseline="0">
              <a:solidFill>
                <a:schemeClr val="tx1"/>
              </a:solidFill>
            </a:rPr>
            <a:t> of a variety of scenarios while the one on the right shows the </a:t>
          </a:r>
          <a:r>
            <a:rPr lang="en-US" sz="1800" b="1" baseline="0">
              <a:solidFill>
                <a:schemeClr val="tx1"/>
              </a:solidFill>
            </a:rPr>
            <a:t>costs</a:t>
          </a:r>
          <a:r>
            <a:rPr lang="en-US" sz="1800" baseline="0">
              <a:solidFill>
                <a:schemeClr val="tx1"/>
              </a:solidFill>
            </a:rPr>
            <a:t>. The historical 2018 values are displayed as well as those of each scenario. Another value is depicted which represents the average revenue and costs Springfield Beans would face if they </a:t>
          </a:r>
          <a:r>
            <a:rPr lang="en-US" sz="1800" b="1" baseline="0">
              <a:solidFill>
                <a:schemeClr val="tx1"/>
              </a:solidFill>
            </a:rPr>
            <a:t>did not pursue</a:t>
          </a:r>
          <a:r>
            <a:rPr lang="en-US" sz="1800" baseline="0">
              <a:solidFill>
                <a:schemeClr val="tx1"/>
              </a:solidFill>
            </a:rPr>
            <a:t> one of the initiatives. It is important to note that while a certain scenario may boast the highest revenue, this may be </a:t>
          </a:r>
          <a:r>
            <a:rPr lang="en-US" sz="1800" b="1" baseline="0">
              <a:solidFill>
                <a:schemeClr val="tx1"/>
              </a:solidFill>
            </a:rPr>
            <a:t>offset by its costs</a:t>
          </a:r>
          <a:r>
            <a:rPr lang="en-US" sz="1800" baseline="0">
              <a:solidFill>
                <a:schemeClr val="tx1"/>
              </a:solidFill>
            </a:rPr>
            <a:t>, lowering its bottom-line improvement/profit.</a:t>
          </a:r>
          <a:endParaRPr lang="en-US" sz="1800">
            <a:solidFill>
              <a:schemeClr val="tx1"/>
            </a:solidFill>
          </a:endParaRPr>
        </a:p>
      </xdr:txBody>
    </xdr:sp>
    <xdr:clientData/>
  </xdr:twoCellAnchor>
  <mc:AlternateContent xmlns:mc="http://schemas.openxmlformats.org/markup-compatibility/2006">
    <mc:Choice xmlns:a14="http://schemas.microsoft.com/office/drawing/2010/main" Requires="a14">
      <xdr:twoCellAnchor>
        <xdr:from>
          <xdr:col>11</xdr:col>
          <xdr:colOff>495300</xdr:colOff>
          <xdr:row>98</xdr:row>
          <xdr:rowOff>133350</xdr:rowOff>
        </xdr:from>
        <xdr:to>
          <xdr:col>12</xdr:col>
          <xdr:colOff>2000250</xdr:colOff>
          <xdr:row>103</xdr:row>
          <xdr:rowOff>76200</xdr:rowOff>
        </xdr:to>
        <xdr:sp macro="" textlink="">
          <xdr:nvSpPr>
            <xdr:cNvPr id="15506" name="Button 146" hidden="1">
              <a:extLst>
                <a:ext uri="{63B3BB69-23CF-44E3-9099-C40C66FF867C}">
                  <a14:compatExt spid="_x0000_s15506"/>
                </a:ext>
                <a:ext uri="{FF2B5EF4-FFF2-40B4-BE49-F238E27FC236}">
                  <a16:creationId xmlns:a16="http://schemas.microsoft.com/office/drawing/2014/main" id="{00000000-0008-0000-0400-0000923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en-US" sz="2800" b="1" i="0" u="none" strike="noStrike" baseline="0">
                  <a:solidFill>
                    <a:srgbClr val="000000"/>
                  </a:solidFill>
                  <a:latin typeface="Calibri"/>
                  <a:ea typeface="Calibri"/>
                  <a:cs typeface="Calibri"/>
                </a:rPr>
                <a:t>Reload</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xdr:col>
      <xdr:colOff>110564</xdr:colOff>
      <xdr:row>29</xdr:row>
      <xdr:rowOff>134470</xdr:rowOff>
    </xdr:from>
    <xdr:to>
      <xdr:col>6</xdr:col>
      <xdr:colOff>233082</xdr:colOff>
      <xdr:row>33</xdr:row>
      <xdr:rowOff>70223</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229097" y="5815603"/>
          <a:ext cx="3043518" cy="680820"/>
        </a:xfrm>
        <a:prstGeom prst="rect">
          <a:avLst/>
        </a:prstGeom>
        <a:solidFill>
          <a:schemeClr val="lt1"/>
        </a:solidFill>
        <a:ln w="1905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Dates before 2018 are only used in the</a:t>
          </a:r>
          <a:r>
            <a:rPr lang="en-US" sz="1100" baseline="0">
              <a:solidFill>
                <a:schemeClr val="tx1"/>
              </a:solidFill>
            </a:rPr>
            <a:t> exponential regression to calculate estimated future volumes.</a:t>
          </a:r>
          <a:endParaRPr lang="en-US" sz="1100">
            <a:solidFill>
              <a:schemeClr val="tx1"/>
            </a:solidFill>
          </a:endParaRPr>
        </a:p>
      </xdr:txBody>
    </xdr:sp>
    <xdr:clientData/>
  </xdr:twoCellAnchor>
  <xdr:twoCellAnchor>
    <xdr:from>
      <xdr:col>21</xdr:col>
      <xdr:colOff>78142</xdr:colOff>
      <xdr:row>13</xdr:row>
      <xdr:rowOff>177052</xdr:rowOff>
    </xdr:from>
    <xdr:to>
      <xdr:col>23</xdr:col>
      <xdr:colOff>591671</xdr:colOff>
      <xdr:row>20</xdr:row>
      <xdr:rowOff>71717</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10610675" y="2852519"/>
          <a:ext cx="2088329" cy="1223931"/>
        </a:xfrm>
        <a:prstGeom prst="rect">
          <a:avLst/>
        </a:prstGeom>
        <a:solidFill>
          <a:schemeClr val="lt1"/>
        </a:solidFill>
        <a:ln w="1905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Probabilistic</a:t>
          </a:r>
          <a:r>
            <a:rPr lang="en-US" sz="1100" baseline="0">
              <a:solidFill>
                <a:schemeClr val="tx1"/>
              </a:solidFill>
            </a:rPr>
            <a:t> calculation for future demand levels. Demand increase % can only fall into 4 categories in the current model, which heavily impacts the distribution of revenue and cost.</a:t>
          </a:r>
          <a:endParaRPr lang="en-US" sz="1100">
            <a:solidFill>
              <a:schemeClr val="tx1"/>
            </a:solidFill>
          </a:endParaRPr>
        </a:p>
      </xdr:txBody>
    </xdr:sp>
    <xdr:clientData/>
  </xdr:twoCellAnchor>
  <xdr:twoCellAnchor>
    <xdr:from>
      <xdr:col>4</xdr:col>
      <xdr:colOff>811056</xdr:colOff>
      <xdr:row>3</xdr:row>
      <xdr:rowOff>92088</xdr:rowOff>
    </xdr:from>
    <xdr:to>
      <xdr:col>11</xdr:col>
      <xdr:colOff>59017</xdr:colOff>
      <xdr:row>6</xdr:row>
      <xdr:rowOff>79687</xdr:rowOff>
    </xdr:to>
    <xdr:sp macro="" textlink="">
      <xdr:nvSpPr>
        <xdr:cNvPr id="11" name="TextBox 10">
          <a:extLst>
            <a:ext uri="{FF2B5EF4-FFF2-40B4-BE49-F238E27FC236}">
              <a16:creationId xmlns:a16="http://schemas.microsoft.com/office/drawing/2014/main" id="{00000000-0008-0000-0500-00000B000000}"/>
            </a:ext>
          </a:extLst>
        </xdr:cNvPr>
        <xdr:cNvSpPr txBox="1"/>
      </xdr:nvSpPr>
      <xdr:spPr>
        <a:xfrm>
          <a:off x="1877856" y="930288"/>
          <a:ext cx="3422028" cy="546399"/>
        </a:xfrm>
        <a:prstGeom prst="rect">
          <a:avLst/>
        </a:prstGeom>
        <a:solidFill>
          <a:schemeClr val="lt1"/>
        </a:solidFill>
        <a:ln w="1905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Estimated values are calculated using an exponential smoothing</a:t>
          </a:r>
          <a:r>
            <a:rPr lang="en-US" sz="1100" baseline="0">
              <a:solidFill>
                <a:schemeClr val="tx1"/>
              </a:solidFill>
            </a:rPr>
            <a:t> function.</a:t>
          </a:r>
          <a:endParaRPr lang="en-US" sz="1100">
            <a:solidFill>
              <a:schemeClr val="tx1"/>
            </a:solidFill>
          </a:endParaRPr>
        </a:p>
      </xdr:txBody>
    </xdr:sp>
    <xdr:clientData/>
  </xdr:twoCellAnchor>
  <xdr:twoCellAnchor>
    <xdr:from>
      <xdr:col>1</xdr:col>
      <xdr:colOff>8467</xdr:colOff>
      <xdr:row>2</xdr:row>
      <xdr:rowOff>50802</xdr:rowOff>
    </xdr:from>
    <xdr:to>
      <xdr:col>3</xdr:col>
      <xdr:colOff>310726</xdr:colOff>
      <xdr:row>2</xdr:row>
      <xdr:rowOff>313269</xdr:rowOff>
    </xdr:to>
    <xdr:sp macro="" textlink="">
      <xdr:nvSpPr>
        <xdr:cNvPr id="19" name="Rectangle 18">
          <a:hlinkClick xmlns:r="http://schemas.openxmlformats.org/officeDocument/2006/relationships" r:id="rId1"/>
          <a:extLst>
            <a:ext uri="{FF2B5EF4-FFF2-40B4-BE49-F238E27FC236}">
              <a16:creationId xmlns:a16="http://schemas.microsoft.com/office/drawing/2014/main" id="{00000000-0008-0000-0500-000013000000}"/>
            </a:ext>
          </a:extLst>
        </xdr:cNvPr>
        <xdr:cNvSpPr/>
      </xdr:nvSpPr>
      <xdr:spPr>
        <a:xfrm>
          <a:off x="127000" y="533402"/>
          <a:ext cx="844126"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Main Menu</a:t>
          </a:r>
        </a:p>
      </xdr:txBody>
    </xdr:sp>
    <xdr:clientData/>
  </xdr:twoCellAnchor>
  <xdr:twoCellAnchor>
    <xdr:from>
      <xdr:col>5</xdr:col>
      <xdr:colOff>367676</xdr:colOff>
      <xdr:row>2</xdr:row>
      <xdr:rowOff>50802</xdr:rowOff>
    </xdr:from>
    <xdr:to>
      <xdr:col>9</xdr:col>
      <xdr:colOff>245989</xdr:colOff>
      <xdr:row>2</xdr:row>
      <xdr:rowOff>313269</xdr:rowOff>
    </xdr:to>
    <xdr:sp macro="" textlink="">
      <xdr:nvSpPr>
        <xdr:cNvPr id="20" name="Rectangle 19">
          <a:hlinkClick xmlns:r="http://schemas.openxmlformats.org/officeDocument/2006/relationships" r:id="rId2"/>
          <a:extLst>
            <a:ext uri="{FF2B5EF4-FFF2-40B4-BE49-F238E27FC236}">
              <a16:creationId xmlns:a16="http://schemas.microsoft.com/office/drawing/2014/main" id="{00000000-0008-0000-0500-000014000000}"/>
            </a:ext>
          </a:extLst>
        </xdr:cNvPr>
        <xdr:cNvSpPr/>
      </xdr:nvSpPr>
      <xdr:spPr>
        <a:xfrm>
          <a:off x="2391209" y="533402"/>
          <a:ext cx="1707113"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Compostable</a:t>
          </a:r>
          <a:r>
            <a:rPr lang="en-US" sz="1100" u="sng" baseline="0"/>
            <a:t> Cup Scenario</a:t>
          </a:r>
          <a:endParaRPr lang="en-US" sz="1100" u="sng"/>
        </a:p>
      </xdr:txBody>
    </xdr:sp>
    <xdr:clientData/>
  </xdr:twoCellAnchor>
  <xdr:twoCellAnchor>
    <xdr:from>
      <xdr:col>11</xdr:col>
      <xdr:colOff>551010</xdr:colOff>
      <xdr:row>2</xdr:row>
      <xdr:rowOff>50802</xdr:rowOff>
    </xdr:from>
    <xdr:to>
      <xdr:col>15</xdr:col>
      <xdr:colOff>255145</xdr:colOff>
      <xdr:row>2</xdr:row>
      <xdr:rowOff>313269</xdr:rowOff>
    </xdr:to>
    <xdr:sp macro="" textlink="">
      <xdr:nvSpPr>
        <xdr:cNvPr id="21" name="Rectangle 20">
          <a:hlinkClick xmlns:r="http://schemas.openxmlformats.org/officeDocument/2006/relationships" r:id="rId3"/>
          <a:extLst>
            <a:ext uri="{FF2B5EF4-FFF2-40B4-BE49-F238E27FC236}">
              <a16:creationId xmlns:a16="http://schemas.microsoft.com/office/drawing/2014/main" id="{00000000-0008-0000-0500-000015000000}"/>
            </a:ext>
          </a:extLst>
        </xdr:cNvPr>
        <xdr:cNvSpPr/>
      </xdr:nvSpPr>
      <xdr:spPr>
        <a:xfrm>
          <a:off x="5791877" y="533402"/>
          <a:ext cx="1549868"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Reusable</a:t>
          </a:r>
          <a:r>
            <a:rPr lang="en-US" sz="1100" u="sng" baseline="0">
              <a:solidFill>
                <a:schemeClr val="bg1"/>
              </a:solidFill>
            </a:rPr>
            <a:t> Mug Scenario</a:t>
          </a:r>
          <a:endParaRPr lang="en-US" sz="1100" u="sng">
            <a:solidFill>
              <a:schemeClr val="bg1"/>
            </a:solidFill>
          </a:endParaRPr>
        </a:p>
      </xdr:txBody>
    </xdr:sp>
    <xdr:clientData/>
  </xdr:twoCellAnchor>
  <xdr:twoCellAnchor>
    <xdr:from>
      <xdr:col>22</xdr:col>
      <xdr:colOff>1156935</xdr:colOff>
      <xdr:row>2</xdr:row>
      <xdr:rowOff>50802</xdr:rowOff>
    </xdr:from>
    <xdr:to>
      <xdr:col>24</xdr:col>
      <xdr:colOff>88679</xdr:colOff>
      <xdr:row>2</xdr:row>
      <xdr:rowOff>313269</xdr:rowOff>
    </xdr:to>
    <xdr:sp macro="" textlink="">
      <xdr:nvSpPr>
        <xdr:cNvPr id="22" name="Rectangle 21">
          <a:hlinkClick xmlns:r="http://schemas.openxmlformats.org/officeDocument/2006/relationships" r:id="rId4"/>
          <a:extLst>
            <a:ext uri="{FF2B5EF4-FFF2-40B4-BE49-F238E27FC236}">
              <a16:creationId xmlns:a16="http://schemas.microsoft.com/office/drawing/2014/main" id="{00000000-0008-0000-0500-000016000000}"/>
            </a:ext>
          </a:extLst>
        </xdr:cNvPr>
        <xdr:cNvSpPr/>
      </xdr:nvSpPr>
      <xdr:spPr>
        <a:xfrm>
          <a:off x="12036602" y="533402"/>
          <a:ext cx="811344"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Dashboard</a:t>
          </a:r>
        </a:p>
      </xdr:txBody>
    </xdr:sp>
    <xdr:clientData/>
  </xdr:twoCellAnchor>
  <xdr:twoCellAnchor>
    <xdr:from>
      <xdr:col>25</xdr:col>
      <xdr:colOff>1172635</xdr:colOff>
      <xdr:row>2</xdr:row>
      <xdr:rowOff>50802</xdr:rowOff>
    </xdr:from>
    <xdr:to>
      <xdr:col>26</xdr:col>
      <xdr:colOff>607907</xdr:colOff>
      <xdr:row>2</xdr:row>
      <xdr:rowOff>313269</xdr:rowOff>
    </xdr:to>
    <xdr:sp macro="" textlink="">
      <xdr:nvSpPr>
        <xdr:cNvPr id="23" name="Rectangle 22">
          <a:hlinkClick xmlns:r="http://schemas.openxmlformats.org/officeDocument/2006/relationships" r:id="rId5"/>
          <a:extLst>
            <a:ext uri="{FF2B5EF4-FFF2-40B4-BE49-F238E27FC236}">
              <a16:creationId xmlns:a16="http://schemas.microsoft.com/office/drawing/2014/main" id="{00000000-0008-0000-0500-000017000000}"/>
            </a:ext>
          </a:extLst>
        </xdr:cNvPr>
        <xdr:cNvSpPr/>
      </xdr:nvSpPr>
      <xdr:spPr>
        <a:xfrm>
          <a:off x="14541502" y="533402"/>
          <a:ext cx="620605" cy="262467"/>
        </a:xfrm>
        <a:prstGeom prst="rect">
          <a:avLst/>
        </a:prstGeom>
        <a:solidFill>
          <a:schemeClr val="accent6">
            <a:lumMod val="75000"/>
          </a:schemeClr>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t>Metrics</a:t>
          </a:r>
        </a:p>
      </xdr:txBody>
    </xdr:sp>
    <xdr:clientData/>
  </xdr:twoCellAnchor>
  <xdr:twoCellAnchor>
    <xdr:from>
      <xdr:col>17</xdr:col>
      <xdr:colOff>340033</xdr:colOff>
      <xdr:row>2</xdr:row>
      <xdr:rowOff>50802</xdr:rowOff>
    </xdr:from>
    <xdr:to>
      <xdr:col>20</xdr:col>
      <xdr:colOff>81447</xdr:colOff>
      <xdr:row>2</xdr:row>
      <xdr:rowOff>313269</xdr:rowOff>
    </xdr:to>
    <xdr:sp macro="" textlink="">
      <xdr:nvSpPr>
        <xdr:cNvPr id="24" name="Rectangle 23">
          <a:hlinkClick xmlns:r="http://schemas.openxmlformats.org/officeDocument/2006/relationships" r:id="rId6"/>
          <a:extLst>
            <a:ext uri="{FF2B5EF4-FFF2-40B4-BE49-F238E27FC236}">
              <a16:creationId xmlns:a16="http://schemas.microsoft.com/office/drawing/2014/main" id="{00000000-0008-0000-0500-000018000000}"/>
            </a:ext>
          </a:extLst>
        </xdr:cNvPr>
        <xdr:cNvSpPr/>
      </xdr:nvSpPr>
      <xdr:spPr>
        <a:xfrm>
          <a:off x="9035300" y="533402"/>
          <a:ext cx="1307747" cy="262467"/>
        </a:xfrm>
        <a:prstGeom prst="rect">
          <a:avLst/>
        </a:prstGeom>
        <a:solidFill>
          <a:schemeClr val="accent6"/>
        </a:solidFill>
        <a:ln>
          <a:solidFill>
            <a:schemeClr val="accent6">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u="sng">
              <a:solidFill>
                <a:schemeClr val="bg1"/>
              </a:solidFill>
            </a:rPr>
            <a:t>Combined</a:t>
          </a:r>
          <a:r>
            <a:rPr lang="en-US" sz="1100" u="sng" baseline="0">
              <a:solidFill>
                <a:schemeClr val="bg1">
                  <a:lumMod val="95000"/>
                </a:schemeClr>
              </a:solidFill>
            </a:rPr>
            <a:t> Scenario</a:t>
          </a:r>
          <a:endParaRPr lang="en-US" sz="1100" u="sng">
            <a:solidFill>
              <a:schemeClr val="bg1">
                <a:lumMod val="95000"/>
              </a:schemeClr>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174172</xdr:colOff>
      <xdr:row>1</xdr:row>
      <xdr:rowOff>0</xdr:rowOff>
    </xdr:from>
    <xdr:to>
      <xdr:col>23</xdr:col>
      <xdr:colOff>87086</xdr:colOff>
      <xdr:row>4</xdr:row>
      <xdr:rowOff>133350</xdr:rowOff>
    </xdr:to>
    <xdr:sp macro="" textlink="">
      <xdr:nvSpPr>
        <xdr:cNvPr id="3" name="TextBox 2">
          <a:extLst>
            <a:ext uri="{FF2B5EF4-FFF2-40B4-BE49-F238E27FC236}">
              <a16:creationId xmlns:a16="http://schemas.microsoft.com/office/drawing/2014/main" id="{00000000-0008-0000-0600-000003000000}"/>
            </a:ext>
          </a:extLst>
        </xdr:cNvPr>
        <xdr:cNvSpPr txBox="1"/>
      </xdr:nvSpPr>
      <xdr:spPr>
        <a:xfrm>
          <a:off x="14623597" y="95250"/>
          <a:ext cx="2941864" cy="800100"/>
        </a:xfrm>
        <a:prstGeom prst="rect">
          <a:avLst/>
        </a:prstGeom>
        <a:solidFill>
          <a:schemeClr val="bg1"/>
        </a:solidFill>
        <a:ln w="19050" cmpd="sng">
          <a:solidFill>
            <a:schemeClr val="accent6"/>
          </a:solidFill>
        </a:ln>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tx1"/>
              </a:solidFill>
            </a:rPr>
            <a:t>These</a:t>
          </a:r>
          <a:r>
            <a:rPr lang="en-US" sz="1100" baseline="0">
              <a:solidFill>
                <a:schemeClr val="tx1"/>
              </a:solidFill>
            </a:rPr>
            <a:t> are s</a:t>
          </a:r>
          <a:r>
            <a:rPr lang="en-US" sz="1100">
              <a:solidFill>
                <a:schemeClr val="tx1"/>
              </a:solidFill>
            </a:rPr>
            <a:t>imulation tables which</a:t>
          </a:r>
          <a:r>
            <a:rPr lang="en-US" sz="1100" baseline="0">
              <a:solidFill>
                <a:schemeClr val="tx1"/>
              </a:solidFill>
            </a:rPr>
            <a:t> are run 1000 times with a possibly different demand increase % each time,  in order to obtain a more accurate distribution of values for each metric.</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omments" Target="../comments1.xml"/><Relationship Id="rId3" Type="http://schemas.openxmlformats.org/officeDocument/2006/relationships/vmlDrawing" Target="../drawings/vmlDrawing4.v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5.xml"/><Relationship Id="rId16" Type="http://schemas.openxmlformats.org/officeDocument/2006/relationships/ctrlProp" Target="../ctrlProps/ctrlProp16.xml"/><Relationship Id="rId1" Type="http://schemas.openxmlformats.org/officeDocument/2006/relationships/printerSettings" Target="../printerSettings/printerSettings4.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905966-8430-40D8-A707-DD32D6CEEC5D}">
  <sheetPr codeName="Sheet7"/>
  <dimension ref="B1:Z29"/>
  <sheetViews>
    <sheetView showGridLines="0" showRowColHeaders="0" tabSelected="1" zoomScale="90" zoomScaleNormal="90" workbookViewId="0">
      <pane xSplit="27" ySplit="3" topLeftCell="AB4" activePane="bottomRight" state="frozen"/>
      <selection pane="topRight" activeCell="AB1" sqref="AB1"/>
      <selection pane="bottomLeft" activeCell="A4" sqref="A4"/>
      <selection pane="bottomRight"/>
    </sheetView>
  </sheetViews>
  <sheetFormatPr defaultColWidth="8.85546875" defaultRowHeight="15" x14ac:dyDescent="0.25"/>
  <cols>
    <col min="1" max="1" width="1.7109375" style="17" customWidth="1"/>
    <col min="2" max="11" width="8.85546875" style="17"/>
    <col min="12" max="12" width="10.7109375" style="17" customWidth="1"/>
    <col min="13" max="13" width="8.85546875" style="17"/>
    <col min="14" max="14" width="11" style="17" customWidth="1"/>
    <col min="15" max="25" width="8.85546875" style="17"/>
    <col min="26" max="26" width="6.28515625" style="17" customWidth="1"/>
    <col min="27" max="16384" width="8.85546875" style="17"/>
  </cols>
  <sheetData>
    <row r="1" spans="2:26" ht="6" customHeight="1" x14ac:dyDescent="0.25"/>
    <row r="2" spans="2:26" ht="32.25" thickBot="1" x14ac:dyDescent="0.55000000000000004">
      <c r="B2" s="81" t="s">
        <v>0</v>
      </c>
      <c r="C2" s="81"/>
      <c r="D2" s="81"/>
      <c r="E2" s="81"/>
      <c r="F2" s="81"/>
      <c r="G2" s="81"/>
      <c r="H2" s="81"/>
      <c r="I2" s="81"/>
      <c r="J2" s="81"/>
      <c r="K2" s="81"/>
      <c r="L2" s="81"/>
      <c r="M2" s="81"/>
      <c r="N2" s="81"/>
      <c r="O2" s="81"/>
      <c r="P2" s="81"/>
      <c r="Q2" s="81"/>
      <c r="R2" s="81"/>
      <c r="S2" s="81"/>
      <c r="T2" s="81"/>
      <c r="U2" s="81"/>
      <c r="V2" s="81"/>
      <c r="W2" s="81"/>
      <c r="X2" s="81"/>
      <c r="Y2" s="81"/>
      <c r="Z2" s="81"/>
    </row>
    <row r="3" spans="2:26" s="189" customFormat="1" ht="28.15" customHeight="1" thickTop="1" thickBot="1" x14ac:dyDescent="0.3"/>
    <row r="4" spans="2:26" ht="4.1500000000000004" customHeight="1" x14ac:dyDescent="0.25"/>
    <row r="5" spans="2:26" ht="14.45" customHeight="1" x14ac:dyDescent="0.25">
      <c r="C5" s="98"/>
      <c r="D5" s="98"/>
      <c r="E5" s="98"/>
      <c r="F5" s="98"/>
      <c r="G5" s="98"/>
      <c r="H5" s="98"/>
      <c r="I5" s="98"/>
      <c r="J5" s="98"/>
      <c r="K5" s="98"/>
      <c r="L5" s="98"/>
      <c r="M5" s="98"/>
      <c r="N5" s="98"/>
    </row>
    <row r="6" spans="2:26" ht="17.649999999999999" customHeight="1" x14ac:dyDescent="0.25">
      <c r="C6" s="98"/>
      <c r="D6" s="98"/>
      <c r="E6" s="98"/>
      <c r="F6" s="98"/>
      <c r="G6" s="98"/>
      <c r="H6" s="98"/>
      <c r="I6" s="98"/>
      <c r="J6" s="98"/>
      <c r="K6" s="98"/>
      <c r="L6" s="98"/>
      <c r="M6" s="98"/>
      <c r="N6" s="98"/>
    </row>
    <row r="7" spans="2:26" ht="14.45" customHeight="1" x14ac:dyDescent="0.25">
      <c r="C7" s="98"/>
      <c r="D7" s="98"/>
      <c r="E7" s="98"/>
      <c r="F7" s="98"/>
      <c r="G7" s="98"/>
      <c r="H7" s="98"/>
      <c r="I7" s="98"/>
      <c r="J7" s="98"/>
      <c r="K7" s="98"/>
      <c r="L7" s="98"/>
      <c r="M7" s="98"/>
      <c r="N7" s="98"/>
    </row>
    <row r="8" spans="2:26" ht="15" customHeight="1" x14ac:dyDescent="0.25">
      <c r="C8" s="98"/>
      <c r="D8" s="98"/>
      <c r="E8" s="98"/>
      <c r="F8" s="98"/>
      <c r="G8" s="98"/>
      <c r="H8" s="98"/>
      <c r="I8" s="98"/>
      <c r="J8" s="98"/>
      <c r="K8" s="98"/>
      <c r="L8" s="98"/>
      <c r="M8" s="98"/>
      <c r="N8" s="98"/>
    </row>
    <row r="9" spans="2:26" ht="14.45" customHeight="1" x14ac:dyDescent="0.25">
      <c r="C9" s="98"/>
      <c r="D9" s="98"/>
      <c r="E9" s="98"/>
      <c r="F9" s="98"/>
      <c r="G9" s="98"/>
      <c r="H9" s="98"/>
      <c r="I9" s="98"/>
      <c r="J9" s="98"/>
      <c r="K9" s="98"/>
      <c r="L9" s="98"/>
      <c r="M9" s="98"/>
      <c r="N9" s="98"/>
    </row>
    <row r="10" spans="2:26" ht="15.75" x14ac:dyDescent="0.25">
      <c r="C10" s="98"/>
      <c r="D10" s="98"/>
      <c r="E10" s="98"/>
      <c r="F10" s="98"/>
      <c r="G10" s="98"/>
      <c r="H10" s="98"/>
      <c r="I10" s="98"/>
      <c r="J10" s="98"/>
      <c r="K10" s="98"/>
      <c r="L10" s="98"/>
      <c r="M10" s="98"/>
      <c r="N10" s="98"/>
    </row>
    <row r="11" spans="2:26" ht="18" customHeight="1" x14ac:dyDescent="0.25">
      <c r="C11" s="98"/>
      <c r="D11" s="98"/>
      <c r="E11" s="98"/>
      <c r="F11" s="98"/>
      <c r="G11" s="98"/>
      <c r="H11" s="98"/>
      <c r="I11" s="98"/>
      <c r="J11" s="98"/>
      <c r="K11" s="98"/>
      <c r="L11" s="98"/>
      <c r="M11" s="98"/>
      <c r="N11" s="98"/>
    </row>
    <row r="12" spans="2:26" ht="18" customHeight="1" x14ac:dyDescent="0.25"/>
    <row r="13" spans="2:26" ht="20.25" thickBot="1" x14ac:dyDescent="0.35">
      <c r="K13" s="115" t="s">
        <v>1</v>
      </c>
      <c r="L13" s="115"/>
      <c r="M13" s="115"/>
      <c r="N13" s="115"/>
      <c r="P13" s="115" t="s">
        <v>2</v>
      </c>
      <c r="Q13" s="115"/>
      <c r="R13" s="115"/>
      <c r="S13" s="115"/>
    </row>
    <row r="14" spans="2:26" ht="5.45" customHeight="1" thickTop="1" x14ac:dyDescent="0.3">
      <c r="K14" s="110"/>
      <c r="L14" s="111"/>
      <c r="M14" s="111"/>
      <c r="N14" s="112"/>
      <c r="P14" s="110"/>
      <c r="Q14" s="111"/>
      <c r="R14" s="111"/>
      <c r="S14" s="112"/>
    </row>
    <row r="15" spans="2:26" ht="18.75" x14ac:dyDescent="0.3">
      <c r="K15" s="221" t="s">
        <v>3</v>
      </c>
      <c r="L15" s="222"/>
      <c r="M15" s="222"/>
      <c r="N15" s="223"/>
      <c r="P15" s="224" t="s">
        <v>4</v>
      </c>
      <c r="Q15" s="225"/>
      <c r="R15" s="225"/>
      <c r="S15" s="226"/>
    </row>
    <row r="16" spans="2:26" ht="18.75" x14ac:dyDescent="0.3">
      <c r="K16" s="221" t="s">
        <v>5</v>
      </c>
      <c r="L16" s="222"/>
      <c r="M16" s="222"/>
      <c r="N16" s="223"/>
      <c r="P16" s="224" t="s">
        <v>6</v>
      </c>
      <c r="Q16" s="225"/>
      <c r="R16" s="225"/>
      <c r="S16" s="226"/>
    </row>
    <row r="17" spans="11:19" ht="18.75" x14ac:dyDescent="0.3">
      <c r="K17" s="221" t="s">
        <v>6</v>
      </c>
      <c r="L17" s="222"/>
      <c r="M17" s="222"/>
      <c r="N17" s="223"/>
      <c r="P17" s="224" t="s">
        <v>7</v>
      </c>
      <c r="Q17" s="225"/>
      <c r="R17" s="225"/>
      <c r="S17" s="226"/>
    </row>
    <row r="18" spans="11:19" ht="18" customHeight="1" x14ac:dyDescent="0.3">
      <c r="K18" s="221" t="s">
        <v>8</v>
      </c>
      <c r="L18" s="222"/>
      <c r="M18" s="222"/>
      <c r="N18" s="223"/>
      <c r="P18" s="224" t="s">
        <v>9</v>
      </c>
      <c r="Q18" s="225"/>
      <c r="R18" s="225"/>
      <c r="S18" s="226"/>
    </row>
    <row r="19" spans="11:19" ht="18.75" x14ac:dyDescent="0.3">
      <c r="K19" s="221" t="s">
        <v>10</v>
      </c>
      <c r="L19" s="222"/>
      <c r="M19" s="222"/>
      <c r="N19" s="223"/>
      <c r="P19" s="224" t="s">
        <v>11</v>
      </c>
      <c r="Q19" s="225"/>
      <c r="R19" s="225"/>
      <c r="S19" s="226"/>
    </row>
    <row r="20" spans="11:19" ht="6" customHeight="1" x14ac:dyDescent="0.25">
      <c r="K20" s="175"/>
      <c r="L20" s="176"/>
      <c r="M20" s="176"/>
      <c r="N20" s="177"/>
      <c r="P20" s="175"/>
      <c r="Q20" s="176"/>
      <c r="R20" s="176"/>
      <c r="S20" s="177"/>
    </row>
    <row r="22" spans="11:19" ht="19.5" thickBot="1" x14ac:dyDescent="0.35">
      <c r="K22" s="113" t="s">
        <v>12</v>
      </c>
      <c r="L22" s="113"/>
      <c r="M22" s="113"/>
      <c r="N22" s="113"/>
    </row>
    <row r="23" spans="11:19" ht="15.75" thickTop="1" x14ac:dyDescent="0.25">
      <c r="K23" s="97"/>
      <c r="L23" s="95"/>
      <c r="M23" s="95"/>
      <c r="N23" s="96"/>
    </row>
    <row r="24" spans="11:19" ht="17.25" x14ac:dyDescent="0.3">
      <c r="K24" s="195" t="s">
        <v>13</v>
      </c>
      <c r="L24" s="196"/>
      <c r="M24" s="196" t="s">
        <v>14</v>
      </c>
      <c r="N24" s="197"/>
    </row>
    <row r="25" spans="11:19" ht="17.25" x14ac:dyDescent="0.3">
      <c r="K25" s="195" t="s">
        <v>15</v>
      </c>
      <c r="L25" s="196"/>
      <c r="M25" s="196" t="s">
        <v>16</v>
      </c>
      <c r="N25" s="197"/>
    </row>
    <row r="26" spans="11:19" ht="17.25" x14ac:dyDescent="0.3">
      <c r="K26" s="195" t="s">
        <v>17</v>
      </c>
      <c r="L26" s="196"/>
      <c r="M26" s="196" t="s">
        <v>18</v>
      </c>
      <c r="N26" s="197"/>
    </row>
    <row r="27" spans="11:19" ht="17.25" x14ac:dyDescent="0.3">
      <c r="K27" s="195" t="s">
        <v>19</v>
      </c>
      <c r="L27" s="196"/>
      <c r="M27" s="196" t="s">
        <v>20</v>
      </c>
      <c r="N27" s="197"/>
    </row>
    <row r="28" spans="11:19" ht="17.25" x14ac:dyDescent="0.3">
      <c r="K28" s="195" t="s">
        <v>21</v>
      </c>
      <c r="L28" s="196"/>
      <c r="M28" s="196" t="s">
        <v>22</v>
      </c>
      <c r="N28" s="197"/>
    </row>
    <row r="29" spans="11:19" ht="17.25" x14ac:dyDescent="0.3">
      <c r="K29" s="198"/>
      <c r="L29" s="199"/>
      <c r="M29" s="199"/>
      <c r="N29" s="200"/>
    </row>
  </sheetData>
  <mergeCells count="10">
    <mergeCell ref="K15:N15"/>
    <mergeCell ref="P16:S16"/>
    <mergeCell ref="K18:N18"/>
    <mergeCell ref="K19:N19"/>
    <mergeCell ref="K17:N17"/>
    <mergeCell ref="K16:N16"/>
    <mergeCell ref="P17:S17"/>
    <mergeCell ref="P15:S15"/>
    <mergeCell ref="P18:S18"/>
    <mergeCell ref="P19:S19"/>
  </mergeCells>
  <hyperlinks>
    <hyperlink ref="K18" location="Dashboard!A1" display="Dashboard" xr:uid="{40EF1CA9-92C2-41EC-864A-D3FD8CB76FF7}"/>
    <hyperlink ref="K15" location="'Compostable Cup Initiative'!A1" display="Compostable Cup Initiative" xr:uid="{2794F1A8-EF66-4A39-9C8A-3B4583BE7362}"/>
    <hyperlink ref="K16" location="'Reusable Mug Initiative'!A1" display="Reusable Mug Initiative" xr:uid="{90ECCDFD-D82A-49F4-B13E-5BF58B162525}"/>
    <hyperlink ref="K19" location="Metrics!A1" display="Metrics" xr:uid="{A4DFE863-E4E4-4DCA-B264-C20A9243399E}"/>
    <hyperlink ref="K17" location="'Combined Scenario'!A1" display="Combined Initiative" xr:uid="{49AD3599-74F0-4D8D-B647-973A6246B231}"/>
    <hyperlink ref="K15:M15" location="'Compostable Cup Scenario'!A1" display="Compostable Cup Scenario" xr:uid="{8324EAA3-6696-4F61-9066-8D855BF8C513}"/>
    <hyperlink ref="K16:M16" location="'Reusable Mug Scenario'!A1" display="Reusable Mug Scenario" xr:uid="{A7900588-F37B-472F-8713-1237DBECE20B}"/>
    <hyperlink ref="K17:L17" location="'Combined Scenario'!A1" display="Combined Scenario" xr:uid="{3C512B8C-374C-4A04-B4E4-930B3F3D8028}"/>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223849-521C-46C1-AAED-C8C5201B2679}">
  <sheetPr codeName="Sheet2"/>
  <dimension ref="B1:AD19"/>
  <sheetViews>
    <sheetView showGridLines="0" showRowColHeaders="0" zoomScale="90" zoomScaleNormal="90" workbookViewId="0">
      <pane xSplit="25" topLeftCell="AA1" activePane="topRight" state="frozen"/>
      <selection pane="topRight"/>
    </sheetView>
  </sheetViews>
  <sheetFormatPr defaultColWidth="8.85546875" defaultRowHeight="15" x14ac:dyDescent="0.25"/>
  <cols>
    <col min="1" max="1" width="1.7109375" style="17" customWidth="1"/>
    <col min="2" max="2" width="4.42578125" style="17" customWidth="1"/>
    <col min="3" max="3" width="4.28515625" style="17" customWidth="1"/>
    <col min="4" max="4" width="26.140625" style="17" bestFit="1" customWidth="1"/>
    <col min="5" max="5" width="11.85546875" style="17" customWidth="1"/>
    <col min="6" max="7" width="4.42578125" style="17" customWidth="1"/>
    <col min="8" max="8" width="8.140625" style="17" customWidth="1"/>
    <col min="9" max="10" width="4.42578125" style="17" customWidth="1"/>
    <col min="11" max="11" width="34.42578125" style="17" bestFit="1" customWidth="1"/>
    <col min="12" max="12" width="11.7109375" style="17" customWidth="1"/>
    <col min="13" max="13" width="4.28515625" style="17" customWidth="1"/>
    <col min="14" max="14" width="11.28515625" style="17" bestFit="1" customWidth="1"/>
    <col min="15" max="15" width="11.7109375" style="17" customWidth="1"/>
    <col min="16" max="16" width="4.42578125" style="17" customWidth="1"/>
    <col min="17" max="17" width="4.28515625" style="17" customWidth="1"/>
    <col min="18" max="18" width="4.42578125" style="17" customWidth="1"/>
    <col min="19" max="19" width="24.28515625" style="17" bestFit="1" customWidth="1"/>
    <col min="20" max="20" width="11.28515625" style="17" bestFit="1" customWidth="1"/>
    <col min="21" max="21" width="4.42578125" style="17" customWidth="1"/>
    <col min="22" max="22" width="8.7109375" style="17" customWidth="1"/>
    <col min="23" max="23" width="8.85546875" style="17"/>
    <col min="24" max="24" width="4.5703125" style="17" customWidth="1"/>
    <col min="25" max="25" width="83.140625" style="17" customWidth="1"/>
    <col min="26" max="29" width="8.85546875" style="17"/>
    <col min="30" max="30" width="10.7109375" style="17" customWidth="1"/>
    <col min="31" max="16384" width="8.85546875" style="17"/>
  </cols>
  <sheetData>
    <row r="1" spans="2:30" ht="6" customHeight="1" x14ac:dyDescent="0.25"/>
    <row r="2" spans="2:30" ht="32.25" thickBot="1" x14ac:dyDescent="0.55000000000000004">
      <c r="B2" s="81" t="s">
        <v>23</v>
      </c>
      <c r="C2" s="81"/>
      <c r="D2" s="81"/>
      <c r="E2" s="81"/>
      <c r="F2" s="81"/>
      <c r="G2" s="81"/>
      <c r="H2" s="81"/>
      <c r="I2" s="81"/>
      <c r="J2" s="81"/>
      <c r="K2" s="81"/>
      <c r="L2" s="81"/>
      <c r="M2" s="81"/>
      <c r="N2" s="81"/>
      <c r="O2" s="81"/>
      <c r="P2" s="81"/>
      <c r="Q2" s="81"/>
      <c r="R2" s="81"/>
      <c r="S2" s="81"/>
      <c r="T2" s="81"/>
      <c r="U2" s="81"/>
      <c r="V2" s="81"/>
      <c r="W2" s="81"/>
      <c r="X2" s="81"/>
    </row>
    <row r="3" spans="2:30" s="189" customFormat="1" ht="28.15" customHeight="1" thickTop="1" thickBot="1" x14ac:dyDescent="0.3"/>
    <row r="4" spans="2:30" ht="9" customHeight="1" thickBot="1" x14ac:dyDescent="0.3">
      <c r="B4" s="20"/>
    </row>
    <row r="5" spans="2:30" ht="20.25" thickBot="1" x14ac:dyDescent="0.35">
      <c r="C5" s="230" t="s">
        <v>24</v>
      </c>
      <c r="D5" s="231"/>
      <c r="E5" s="232">
        <v>2018</v>
      </c>
      <c r="F5" s="233"/>
      <c r="G5" s="174"/>
      <c r="H5" s="174"/>
      <c r="I5" s="65"/>
      <c r="J5" s="230" t="s">
        <v>25</v>
      </c>
      <c r="K5" s="231"/>
      <c r="L5" s="231"/>
      <c r="M5" s="232">
        <f>IF(ISBLANK(Dashboard!$AE$13),2019,Dashboard!$AE$13)</f>
        <v>2019</v>
      </c>
      <c r="N5" s="232"/>
      <c r="O5" s="232"/>
      <c r="P5" s="233"/>
      <c r="R5" s="230" t="s">
        <v>26</v>
      </c>
      <c r="S5" s="231"/>
      <c r="T5" s="231"/>
      <c r="U5" s="234"/>
    </row>
    <row r="6" spans="2:30" ht="15.75" thickTop="1" x14ac:dyDescent="0.25">
      <c r="C6" s="30"/>
      <c r="D6" s="54"/>
      <c r="E6" s="54"/>
      <c r="F6" s="31"/>
      <c r="J6" s="30"/>
      <c r="K6" s="54"/>
      <c r="L6" s="54"/>
      <c r="M6" s="54"/>
      <c r="N6" s="54"/>
      <c r="O6" s="54"/>
      <c r="P6" s="31"/>
      <c r="R6" s="30"/>
      <c r="S6" s="54"/>
      <c r="T6" s="54"/>
      <c r="U6" s="31"/>
    </row>
    <row r="7" spans="2:30" x14ac:dyDescent="0.25">
      <c r="C7" s="30"/>
      <c r="D7" s="54" t="s">
        <v>27</v>
      </c>
      <c r="E7" s="3">
        <f>IF('Control Sheet'!$K$4, INDEX(Metrics!$D$10:$R$28, MATCH($E$5, Metrics!$D$10:$D$28, 0), MATCH($D7&amp;'Control Sheet'!$K$9, Metrics!$D$10:$R$10, 0)), Dashboard!AE$10)</f>
        <v>66262</v>
      </c>
      <c r="F7" s="31"/>
      <c r="J7" s="30"/>
      <c r="K7" s="54" t="s">
        <v>27</v>
      </c>
      <c r="L7" s="3">
        <f>IF('Control Sheet'!P4, INDEX(Metrics!$D$10:$R$28, MATCH($M$5, Metrics!$D$10:$D$28, 0), MATCH($K7&amp;'Control Sheet'!$K$9, Metrics!$D$10:$R$10, 0)), IF('Control Sheet'!$P$7,'Compostable Cup Scenario'!$E$7,Dashboard!$AJ$13))</f>
        <v>81753.173721494197</v>
      </c>
      <c r="M7" s="54"/>
      <c r="N7" s="54"/>
      <c r="O7" s="54"/>
      <c r="P7" s="31"/>
      <c r="R7" s="30"/>
      <c r="S7" s="54" t="s">
        <v>28</v>
      </c>
      <c r="T7" s="1">
        <f ca="1">O11-E9</f>
        <v>53522.25</v>
      </c>
      <c r="U7" s="31"/>
      <c r="AB7" s="227"/>
      <c r="AC7" s="227"/>
      <c r="AD7" s="227"/>
    </row>
    <row r="8" spans="2:30" ht="15.75" thickBot="1" x14ac:dyDescent="0.3">
      <c r="C8" s="30"/>
      <c r="D8" s="54"/>
      <c r="E8" s="54"/>
      <c r="F8" s="31"/>
      <c r="G8" s="237" t="str">
        <f>IF('Control Sheet'!P4,"+ Natural Demand Increase","")</f>
        <v>+ Natural Demand Increase</v>
      </c>
      <c r="H8" s="238"/>
      <c r="I8" s="239"/>
      <c r="J8" s="83"/>
      <c r="K8" s="82" t="s">
        <v>29</v>
      </c>
      <c r="L8" s="158">
        <f ca="1">Metrics!V9</f>
        <v>0.15</v>
      </c>
      <c r="M8" s="54"/>
      <c r="N8" s="54"/>
      <c r="O8" s="54"/>
      <c r="P8" s="31"/>
      <c r="R8" s="30"/>
      <c r="S8" s="82" t="s">
        <v>30</v>
      </c>
      <c r="T8" s="1">
        <f ca="1">L18-E11</f>
        <v>9028.66</v>
      </c>
      <c r="U8" s="31"/>
      <c r="AB8" s="90"/>
      <c r="AC8" s="90"/>
      <c r="AD8" s="90"/>
    </row>
    <row r="9" spans="2:30" ht="16.5" thickTop="1" thickBot="1" x14ac:dyDescent="0.3">
      <c r="C9" s="30"/>
      <c r="D9" s="54" t="s">
        <v>31</v>
      </c>
      <c r="E9" s="160">
        <f>IF('Control Sheet'!$K$5, INDEX(Metrics!$D$10:$R$28, MATCH($E$5, Metrics!$D$10:$D$28, 0), MATCH($D9&amp;'Control Sheet'!$K$9, Metrics!$D$10:$R$10, 0)), Dashboard!$AE$11)</f>
        <v>275533.75</v>
      </c>
      <c r="F9" s="31"/>
      <c r="G9" s="237"/>
      <c r="H9" s="238"/>
      <c r="I9" s="239"/>
      <c r="J9" s="83"/>
      <c r="K9" s="54" t="s">
        <v>32</v>
      </c>
      <c r="L9" s="136">
        <f ca="1">ROUND($L$7*(1+$L$8),0)</f>
        <v>94016</v>
      </c>
      <c r="M9" s="54"/>
      <c r="N9" s="54" t="s">
        <v>33</v>
      </c>
      <c r="O9" s="87">
        <f ca="1">L9</f>
        <v>94016</v>
      </c>
      <c r="P9" s="31"/>
      <c r="R9" s="30"/>
      <c r="S9" s="54" t="s">
        <v>34</v>
      </c>
      <c r="T9" s="88">
        <f ca="1">T7-T8</f>
        <v>44493.59</v>
      </c>
      <c r="U9" s="31"/>
      <c r="AB9" s="90"/>
      <c r="AC9" s="90"/>
      <c r="AD9" s="90"/>
    </row>
    <row r="10" spans="2:30" ht="16.5" thickTop="1" thickBot="1" x14ac:dyDescent="0.3">
      <c r="C10" s="30"/>
      <c r="D10" s="82" t="s">
        <v>35</v>
      </c>
      <c r="E10" s="106">
        <f>Dashboard!AE25</f>
        <v>0.05</v>
      </c>
      <c r="F10" s="31"/>
      <c r="J10" s="30"/>
      <c r="K10" s="82" t="s">
        <v>36</v>
      </c>
      <c r="L10" s="159">
        <f ca="1">IF('Control Sheet'!N12, RANDBETWEEN(Dashboard!AG20,Dashboard!AI20)/100, Dashboard!AI17)</f>
        <v>0.06</v>
      </c>
      <c r="M10" s="54"/>
      <c r="N10" s="82" t="s">
        <v>37</v>
      </c>
      <c r="O10" s="86">
        <f>Dashboard!AE27</f>
        <v>3.5</v>
      </c>
      <c r="P10" s="31"/>
      <c r="R10" s="61"/>
      <c r="S10" s="62"/>
      <c r="T10" s="62"/>
      <c r="U10" s="63"/>
      <c r="AB10" s="90"/>
      <c r="AC10" s="90"/>
      <c r="AD10" s="90"/>
    </row>
    <row r="11" spans="2:30" ht="16.5" thickTop="1" thickBot="1" x14ac:dyDescent="0.3">
      <c r="C11" s="30"/>
      <c r="D11" s="54" t="s">
        <v>38</v>
      </c>
      <c r="E11" s="89">
        <f>E7*E10</f>
        <v>3313.1000000000004</v>
      </c>
      <c r="F11" s="31"/>
      <c r="J11" s="30"/>
      <c r="K11" s="84" t="s">
        <v>39</v>
      </c>
      <c r="L11" s="9">
        <f ca="1">_xlfn.BINOM.INV($L$9,$L$10,Metrics!AA9)</f>
        <v>5495</v>
      </c>
      <c r="M11" s="54"/>
      <c r="N11" s="54" t="s">
        <v>40</v>
      </c>
      <c r="O11" s="89">
        <f ca="1">$L$9*$O$10</f>
        <v>329056</v>
      </c>
      <c r="P11" s="31"/>
      <c r="AB11" s="90"/>
      <c r="AC11" s="90"/>
      <c r="AD11" s="90"/>
    </row>
    <row r="12" spans="2:30" ht="16.5" thickTop="1" thickBot="1" x14ac:dyDescent="0.3">
      <c r="C12" s="61"/>
      <c r="D12" s="62"/>
      <c r="E12" s="62"/>
      <c r="F12" s="63"/>
      <c r="J12" s="30"/>
      <c r="K12" s="54" t="s">
        <v>41</v>
      </c>
      <c r="L12" s="9">
        <f ca="1">$L$9-$L$11</f>
        <v>88521</v>
      </c>
      <c r="M12" s="54"/>
      <c r="N12" s="54"/>
      <c r="O12" s="54"/>
      <c r="P12" s="31"/>
      <c r="AB12" s="90"/>
      <c r="AC12" s="90"/>
      <c r="AD12" s="90"/>
    </row>
    <row r="13" spans="2:30" ht="15.75" thickBot="1" x14ac:dyDescent="0.3">
      <c r="J13" s="30"/>
      <c r="K13" s="54"/>
      <c r="L13" s="54"/>
      <c r="M13" s="54"/>
      <c r="N13" s="54"/>
      <c r="O13" s="54"/>
      <c r="P13" s="31"/>
    </row>
    <row r="14" spans="2:30" x14ac:dyDescent="0.25">
      <c r="D14" s="235" t="s">
        <v>42</v>
      </c>
      <c r="E14" s="235"/>
      <c r="J14" s="30"/>
      <c r="K14" s="54" t="s">
        <v>33</v>
      </c>
      <c r="L14" s="87">
        <f ca="1">L9</f>
        <v>94016</v>
      </c>
      <c r="M14" s="54"/>
      <c r="N14" s="54"/>
      <c r="O14" s="54"/>
      <c r="P14" s="31"/>
      <c r="S14" s="240"/>
      <c r="T14" s="241"/>
    </row>
    <row r="15" spans="2:30" ht="15.75" thickBot="1" x14ac:dyDescent="0.3">
      <c r="D15" s="236" t="s">
        <v>43</v>
      </c>
      <c r="E15" s="236"/>
      <c r="J15" s="30"/>
      <c r="K15" s="82" t="s">
        <v>44</v>
      </c>
      <c r="L15" s="147">
        <f>Dashboard!AE26</f>
        <v>0.11</v>
      </c>
      <c r="M15" s="54"/>
      <c r="N15" s="54"/>
      <c r="O15" s="54"/>
      <c r="P15" s="31"/>
      <c r="S15" s="242"/>
      <c r="T15" s="243"/>
    </row>
    <row r="16" spans="2:30" ht="16.5" thickTop="1" thickBot="1" x14ac:dyDescent="0.3">
      <c r="D16" s="228" t="s">
        <v>45</v>
      </c>
      <c r="E16" s="228"/>
      <c r="J16" s="30"/>
      <c r="K16" s="54" t="s">
        <v>46</v>
      </c>
      <c r="L16" s="192">
        <f ca="1">$L$9*$L$15</f>
        <v>10341.76</v>
      </c>
      <c r="M16" s="54"/>
      <c r="N16" s="54"/>
      <c r="O16" s="54"/>
      <c r="P16" s="31"/>
      <c r="S16" s="244"/>
      <c r="T16" s="245"/>
    </row>
    <row r="17" spans="4:16" ht="16.5" thickTop="1" thickBot="1" x14ac:dyDescent="0.3">
      <c r="D17" s="229" t="s">
        <v>47</v>
      </c>
      <c r="E17" s="229"/>
      <c r="J17" s="30"/>
      <c r="K17" s="82" t="s">
        <v>48</v>
      </c>
      <c r="L17" s="109">
        <f>Dashboard!AD21</f>
        <v>2000</v>
      </c>
      <c r="M17" s="54"/>
      <c r="N17" s="54"/>
      <c r="O17" s="54"/>
      <c r="P17" s="31"/>
    </row>
    <row r="18" spans="4:16" ht="15.75" thickTop="1" x14ac:dyDescent="0.25">
      <c r="J18" s="30"/>
      <c r="K18" s="54" t="s">
        <v>38</v>
      </c>
      <c r="L18" s="89">
        <f ca="1">$L$16+$L$17</f>
        <v>12341.76</v>
      </c>
      <c r="M18" s="54"/>
      <c r="N18" s="54"/>
      <c r="O18" s="54"/>
      <c r="P18" s="31"/>
    </row>
    <row r="19" spans="4:16" ht="15.75" thickBot="1" x14ac:dyDescent="0.3">
      <c r="J19" s="61"/>
      <c r="K19" s="62"/>
      <c r="L19" s="62"/>
      <c r="M19" s="62"/>
      <c r="N19" s="62"/>
      <c r="O19" s="62"/>
      <c r="P19" s="63"/>
    </row>
  </sheetData>
  <sheetProtection sheet="1" objects="1" scenarios="1"/>
  <mergeCells count="12">
    <mergeCell ref="AB7:AD7"/>
    <mergeCell ref="D16:E16"/>
    <mergeCell ref="D17:E17"/>
    <mergeCell ref="C5:D5"/>
    <mergeCell ref="E5:F5"/>
    <mergeCell ref="R5:U5"/>
    <mergeCell ref="D14:E14"/>
    <mergeCell ref="D15:E15"/>
    <mergeCell ref="J5:L5"/>
    <mergeCell ref="M5:P5"/>
    <mergeCell ref="G8:I9"/>
    <mergeCell ref="S14:T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myRecalc">
                <anchor moveWithCells="1" sizeWithCells="1">
                  <from>
                    <xdr:col>18</xdr:col>
                    <xdr:colOff>438150</xdr:colOff>
                    <xdr:row>13</xdr:row>
                    <xdr:rowOff>95250</xdr:rowOff>
                  </from>
                  <to>
                    <xdr:col>19</xdr:col>
                    <xdr:colOff>209550</xdr:colOff>
                    <xdr:row>15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7340E1-3E0E-43EE-88DB-C3B532096B4C}">
  <sheetPr codeName="Sheet3"/>
  <dimension ref="B1:W19"/>
  <sheetViews>
    <sheetView showGridLines="0" showRowColHeaders="0" zoomScale="90" zoomScaleNormal="90" workbookViewId="0">
      <pane xSplit="24" ySplit="3" topLeftCell="Y4" activePane="bottomRight" state="frozen"/>
      <selection pane="topRight" activeCell="Y1" sqref="Y1"/>
      <selection pane="bottomLeft" activeCell="A4" sqref="A4"/>
      <selection pane="bottomRight"/>
    </sheetView>
  </sheetViews>
  <sheetFormatPr defaultColWidth="8.85546875" defaultRowHeight="15" x14ac:dyDescent="0.25"/>
  <cols>
    <col min="1" max="1" width="1.7109375" style="17" customWidth="1"/>
    <col min="2" max="2" width="4.42578125" style="17" customWidth="1"/>
    <col min="3" max="3" width="4.28515625" style="17" customWidth="1"/>
    <col min="4" max="4" width="26.140625" style="17" bestFit="1" customWidth="1"/>
    <col min="5" max="5" width="11.28515625" style="17" customWidth="1"/>
    <col min="6" max="7" width="4.42578125" style="17" customWidth="1"/>
    <col min="8" max="8" width="7.7109375" style="17" customWidth="1"/>
    <col min="9" max="10" width="4.42578125" style="17" customWidth="1"/>
    <col min="11" max="11" width="30.28515625" style="17" bestFit="1" customWidth="1"/>
    <col min="12" max="12" width="11.7109375" style="17" customWidth="1"/>
    <col min="13" max="13" width="5.5703125" style="17" customWidth="1"/>
    <col min="14" max="14" width="24.140625" style="17" bestFit="1" customWidth="1"/>
    <col min="15" max="15" width="11.7109375" style="17" customWidth="1"/>
    <col min="16" max="18" width="4.42578125" style="17" customWidth="1"/>
    <col min="19" max="19" width="23.85546875" style="17" bestFit="1" customWidth="1"/>
    <col min="20" max="20" width="13" style="17" customWidth="1"/>
    <col min="21" max="22" width="4.42578125" style="17" customWidth="1"/>
    <col min="23" max="23" width="5" style="17" customWidth="1"/>
    <col min="24" max="24" width="61" style="17" customWidth="1"/>
    <col min="25" max="16384" width="8.85546875" style="17"/>
  </cols>
  <sheetData>
    <row r="1" spans="2:23" ht="6" customHeight="1" x14ac:dyDescent="0.25"/>
    <row r="2" spans="2:23" ht="32.25" thickBot="1" x14ac:dyDescent="0.55000000000000004">
      <c r="B2" s="81" t="s">
        <v>49</v>
      </c>
      <c r="C2" s="81"/>
      <c r="D2" s="81"/>
      <c r="E2" s="81"/>
      <c r="F2" s="81"/>
      <c r="G2" s="81"/>
      <c r="H2" s="81"/>
      <c r="I2" s="81"/>
      <c r="J2" s="81"/>
      <c r="K2" s="81"/>
      <c r="L2" s="81"/>
      <c r="M2" s="81"/>
      <c r="N2" s="81"/>
      <c r="O2" s="81"/>
      <c r="P2" s="81"/>
      <c r="Q2" s="81"/>
      <c r="R2" s="81"/>
      <c r="S2" s="81"/>
      <c r="T2" s="81"/>
      <c r="U2" s="81"/>
      <c r="V2" s="81"/>
      <c r="W2" s="81"/>
    </row>
    <row r="3" spans="2:23" s="189" customFormat="1" ht="28.15" customHeight="1" thickTop="1" thickBot="1" x14ac:dyDescent="0.3"/>
    <row r="4" spans="2:23" ht="9" customHeight="1" thickBot="1" x14ac:dyDescent="0.3">
      <c r="B4" s="20"/>
    </row>
    <row r="5" spans="2:23" ht="20.25" thickBot="1" x14ac:dyDescent="0.35">
      <c r="C5" s="230" t="s">
        <v>24</v>
      </c>
      <c r="D5" s="231"/>
      <c r="E5" s="232">
        <v>2018</v>
      </c>
      <c r="F5" s="233"/>
      <c r="J5" s="230" t="s">
        <v>25</v>
      </c>
      <c r="K5" s="231"/>
      <c r="L5" s="231"/>
      <c r="M5" s="232">
        <f>IF(ISBLANK(Dashboard!$AE$13),2019,Dashboard!$AE$13)</f>
        <v>2019</v>
      </c>
      <c r="N5" s="232"/>
      <c r="O5" s="232"/>
      <c r="P5" s="233"/>
      <c r="R5" s="230" t="s">
        <v>26</v>
      </c>
      <c r="S5" s="231"/>
      <c r="T5" s="231"/>
      <c r="U5" s="234"/>
    </row>
    <row r="6" spans="2:23" ht="15.75" thickTop="1" x14ac:dyDescent="0.25">
      <c r="C6" s="30"/>
      <c r="D6" s="54"/>
      <c r="E6" s="54"/>
      <c r="F6" s="31"/>
      <c r="J6" s="30"/>
      <c r="K6" s="54"/>
      <c r="L6" s="54"/>
      <c r="M6" s="54"/>
      <c r="N6" s="54"/>
      <c r="O6" s="54"/>
      <c r="P6" s="31"/>
      <c r="R6" s="30"/>
      <c r="S6" s="54"/>
      <c r="T6" s="54"/>
      <c r="U6" s="31"/>
    </row>
    <row r="7" spans="2:23" x14ac:dyDescent="0.25">
      <c r="C7" s="30"/>
      <c r="D7" s="54" t="s">
        <v>27</v>
      </c>
      <c r="E7" s="3">
        <f>IF('Control Sheet'!$K$4, INDEX(Metrics!$D$10:$R$28, MATCH($E$5, Metrics!$D$10:$D$28, 0), MATCH($D7&amp;'Control Sheet'!$K$9, Metrics!$D$10:$R$10, 0)), Dashboard!AE$10)</f>
        <v>66262</v>
      </c>
      <c r="F7" s="31"/>
      <c r="J7" s="30"/>
      <c r="K7" s="54" t="s">
        <v>27</v>
      </c>
      <c r="L7" s="3">
        <f>IF('Control Sheet'!P4, INDEX(Metrics!$D$10:$R$28, MATCH($M$5, Metrics!$D$10:$D$28, 0), MATCH($K7&amp;'Control Sheet'!$K$9, Metrics!$D$10:$R$10, 0)), IF('Control Sheet'!$P$7,'Compostable Cup Scenario'!$E$7,Dashboard!$AJ$13))</f>
        <v>81753.173721494197</v>
      </c>
      <c r="M7" s="54"/>
      <c r="N7" s="54"/>
      <c r="O7" s="54"/>
      <c r="P7" s="31"/>
      <c r="R7" s="30"/>
      <c r="S7" s="54" t="s">
        <v>50</v>
      </c>
      <c r="T7" s="1">
        <f ca="1">O14-E9</f>
        <v>52050.412499999977</v>
      </c>
      <c r="U7" s="31"/>
    </row>
    <row r="8" spans="2:23" ht="15.75" thickBot="1" x14ac:dyDescent="0.3">
      <c r="C8" s="30"/>
      <c r="D8" s="54"/>
      <c r="E8" s="54"/>
      <c r="F8" s="31"/>
      <c r="G8" s="237" t="str">
        <f>IF('Control Sheet'!P4,"+ Natural Demand Increase","")</f>
        <v>+ Natural Demand Increase</v>
      </c>
      <c r="H8" s="238"/>
      <c r="I8" s="239"/>
      <c r="J8" s="83"/>
      <c r="K8" s="82" t="s">
        <v>29</v>
      </c>
      <c r="L8" s="158">
        <f ca="1">Metrics!V9</f>
        <v>0.15</v>
      </c>
      <c r="M8" s="54"/>
      <c r="N8" s="54" t="s">
        <v>51</v>
      </c>
      <c r="O8" s="1">
        <f ca="1">(O13-O12)*L11</f>
        <v>1471.8375000000005</v>
      </c>
      <c r="P8" s="31"/>
      <c r="R8" s="30"/>
      <c r="S8" s="82" t="s">
        <v>52</v>
      </c>
      <c r="T8" s="1">
        <f ca="1">L18-E11</f>
        <v>2786.95</v>
      </c>
      <c r="U8" s="31"/>
    </row>
    <row r="9" spans="2:23" ht="16.5" thickTop="1" thickBot="1" x14ac:dyDescent="0.3">
      <c r="C9" s="30"/>
      <c r="D9" s="54" t="s">
        <v>31</v>
      </c>
      <c r="E9" s="160">
        <f>IF('Control Sheet'!$K$5, INDEX(Metrics!$D$10:$R$28, MATCH($E$5, Metrics!$D$10:$D$28, 0), MATCH($D9&amp;'Control Sheet'!$K$9, Metrics!$D$10:$R$10, 0)), Dashboard!$AE$11)</f>
        <v>275533.75</v>
      </c>
      <c r="F9" s="31"/>
      <c r="G9" s="237"/>
      <c r="H9" s="238"/>
      <c r="I9" s="239"/>
      <c r="J9" s="83"/>
      <c r="K9" s="54" t="s">
        <v>32</v>
      </c>
      <c r="L9" s="136">
        <f ca="1">ROUND($L$7*(1+$L$8),0)</f>
        <v>94016</v>
      </c>
      <c r="M9" s="54"/>
      <c r="N9" s="54"/>
      <c r="O9" s="54"/>
      <c r="P9" s="31"/>
      <c r="R9" s="30"/>
      <c r="S9" s="54" t="s">
        <v>53</v>
      </c>
      <c r="T9" s="88">
        <f ca="1">T7-T8</f>
        <v>49263.46249999998</v>
      </c>
      <c r="U9" s="31"/>
    </row>
    <row r="10" spans="2:23" ht="16.5" thickTop="1" thickBot="1" x14ac:dyDescent="0.3">
      <c r="C10" s="30"/>
      <c r="D10" s="82" t="s">
        <v>35</v>
      </c>
      <c r="E10" s="106">
        <f>Dashboard!AE25</f>
        <v>0.05</v>
      </c>
      <c r="F10" s="31"/>
      <c r="J10" s="30"/>
      <c r="K10" s="82" t="s">
        <v>54</v>
      </c>
      <c r="L10" s="159">
        <f ca="1">IF('Control Sheet'!N18, RANDBETWEEN(Dashboard!AG27,Dashboard!AI27)/100, Dashboard!AI24)</f>
        <v>0.13</v>
      </c>
      <c r="M10" s="54"/>
      <c r="N10" s="54"/>
      <c r="O10" s="54"/>
      <c r="P10" s="31"/>
      <c r="R10" s="61"/>
      <c r="S10" s="62"/>
      <c r="T10" s="62"/>
      <c r="U10" s="63"/>
    </row>
    <row r="11" spans="2:23" ht="16.5" thickTop="1" thickBot="1" x14ac:dyDescent="0.3">
      <c r="C11" s="30"/>
      <c r="D11" s="54" t="s">
        <v>38</v>
      </c>
      <c r="E11" s="89">
        <f>IFERROR(E7*E10,"Data Error")</f>
        <v>3313.1000000000004</v>
      </c>
      <c r="F11" s="31"/>
      <c r="J11" s="30"/>
      <c r="K11" s="84" t="s">
        <v>55</v>
      </c>
      <c r="L11" s="9">
        <f ca="1">_xlfn.BINOM.INV($L$9,$L$10,Metrics!AA9)</f>
        <v>12015</v>
      </c>
      <c r="M11" s="54"/>
      <c r="N11" s="54" t="s">
        <v>56</v>
      </c>
      <c r="O11" s="87">
        <f ca="1">L11</f>
        <v>12015</v>
      </c>
      <c r="P11" s="31"/>
    </row>
    <row r="12" spans="2:23" ht="16.5" thickTop="1" thickBot="1" x14ac:dyDescent="0.3">
      <c r="C12" s="61"/>
      <c r="D12" s="62"/>
      <c r="E12" s="62"/>
      <c r="F12" s="63"/>
      <c r="J12" s="30"/>
      <c r="K12" s="54" t="s">
        <v>57</v>
      </c>
      <c r="L12" s="9">
        <f ca="1">$L$9-$L$11</f>
        <v>82001</v>
      </c>
      <c r="M12" s="54"/>
      <c r="N12" s="54" t="s">
        <v>58</v>
      </c>
      <c r="O12" s="86">
        <f>(100-Dashboard!AE27)/100*O13</f>
        <v>3.3774999999999999</v>
      </c>
      <c r="P12" s="31"/>
    </row>
    <row r="13" spans="2:23" ht="15.75" thickBot="1" x14ac:dyDescent="0.3">
      <c r="J13" s="30"/>
      <c r="K13" s="54"/>
      <c r="L13" s="54"/>
      <c r="M13" s="54"/>
      <c r="N13" s="82" t="s">
        <v>59</v>
      </c>
      <c r="O13" s="108">
        <f>Dashboard!AE27</f>
        <v>3.5</v>
      </c>
      <c r="P13" s="31"/>
    </row>
    <row r="14" spans="2:23" ht="15.75" thickTop="1" x14ac:dyDescent="0.25">
      <c r="D14" s="235" t="s">
        <v>42</v>
      </c>
      <c r="E14" s="235"/>
      <c r="J14" s="30"/>
      <c r="K14" s="54" t="s">
        <v>60</v>
      </c>
      <c r="L14" s="87">
        <f ca="1">L12</f>
        <v>82001</v>
      </c>
      <c r="M14" s="54"/>
      <c r="N14" s="54" t="s">
        <v>40</v>
      </c>
      <c r="O14" s="89">
        <f ca="1">($O$12*$O$11)+($O$13*$L$12)</f>
        <v>327584.16249999998</v>
      </c>
      <c r="P14" s="31"/>
      <c r="S14" s="240"/>
      <c r="T14" s="241"/>
      <c r="V14" s="17" t="s">
        <v>61</v>
      </c>
    </row>
    <row r="15" spans="2:23" ht="15.75" thickBot="1" x14ac:dyDescent="0.3">
      <c r="D15" s="236" t="s">
        <v>43</v>
      </c>
      <c r="E15" s="236"/>
      <c r="J15" s="30"/>
      <c r="K15" s="82" t="s">
        <v>35</v>
      </c>
      <c r="L15" s="108">
        <f>E10</f>
        <v>0.05</v>
      </c>
      <c r="M15" s="54"/>
      <c r="N15" s="54"/>
      <c r="O15" s="54"/>
      <c r="P15" s="31"/>
      <c r="S15" s="242"/>
      <c r="T15" s="243"/>
    </row>
    <row r="16" spans="2:23" ht="16.5" thickTop="1" thickBot="1" x14ac:dyDescent="0.3">
      <c r="D16" s="228" t="s">
        <v>45</v>
      </c>
      <c r="E16" s="228"/>
      <c r="J16" s="30"/>
      <c r="K16" s="54" t="s">
        <v>46</v>
      </c>
      <c r="L16" s="107">
        <f ca="1">$L$12*$E$10</f>
        <v>4100.05</v>
      </c>
      <c r="M16" s="54"/>
      <c r="N16" s="54"/>
      <c r="O16" s="54"/>
      <c r="P16" s="31"/>
      <c r="S16" s="244"/>
      <c r="T16" s="245"/>
    </row>
    <row r="17" spans="4:19" ht="16.5" thickTop="1" thickBot="1" x14ac:dyDescent="0.3">
      <c r="D17" s="229" t="s">
        <v>47</v>
      </c>
      <c r="E17" s="229"/>
      <c r="J17" s="30"/>
      <c r="K17" s="82" t="s">
        <v>62</v>
      </c>
      <c r="L17" s="109">
        <f>Dashboard!AD22</f>
        <v>2000</v>
      </c>
      <c r="M17" s="54"/>
      <c r="N17" s="54"/>
      <c r="O17" s="54"/>
      <c r="P17" s="31"/>
    </row>
    <row r="18" spans="4:19" ht="15.75" thickTop="1" x14ac:dyDescent="0.25">
      <c r="J18" s="30"/>
      <c r="K18" s="54" t="s">
        <v>38</v>
      </c>
      <c r="L18" s="89">
        <f ca="1">L16+L17</f>
        <v>6100.05</v>
      </c>
      <c r="M18" s="54"/>
      <c r="N18" s="54"/>
      <c r="O18" s="54"/>
      <c r="P18" s="31"/>
    </row>
    <row r="19" spans="4:19" ht="15.75" thickBot="1" x14ac:dyDescent="0.3">
      <c r="J19" s="61"/>
      <c r="K19" s="62"/>
      <c r="L19" s="62"/>
      <c r="M19" s="62"/>
      <c r="N19" s="85"/>
      <c r="O19" s="62"/>
      <c r="P19" s="63"/>
      <c r="S19" s="17" t="s">
        <v>61</v>
      </c>
    </row>
  </sheetData>
  <sheetProtection sheet="1" objects="1" scenarios="1"/>
  <mergeCells count="11">
    <mergeCell ref="D16:E16"/>
    <mergeCell ref="D17:E17"/>
    <mergeCell ref="R5:U5"/>
    <mergeCell ref="D14:E14"/>
    <mergeCell ref="C5:D5"/>
    <mergeCell ref="E5:F5"/>
    <mergeCell ref="D15:E15"/>
    <mergeCell ref="J5:L5"/>
    <mergeCell ref="M5:P5"/>
    <mergeCell ref="G8:I9"/>
    <mergeCell ref="S14:T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yRecalc">
                <anchor moveWithCells="1" sizeWithCells="1">
                  <from>
                    <xdr:col>18</xdr:col>
                    <xdr:colOff>485775</xdr:colOff>
                    <xdr:row>13</xdr:row>
                    <xdr:rowOff>95250</xdr:rowOff>
                  </from>
                  <to>
                    <xdr:col>19</xdr:col>
                    <xdr:colOff>257175</xdr:colOff>
                    <xdr:row>15</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5A0092-A1E9-461C-B7B4-E6A664DF803F}">
  <sheetPr codeName="Sheet8"/>
  <dimension ref="B1:V19"/>
  <sheetViews>
    <sheetView showGridLines="0" showRowColHeaders="0" zoomScale="90" zoomScaleNormal="90" zoomScaleSheetLayoutView="110" workbookViewId="0">
      <pane xSplit="23" ySplit="3" topLeftCell="X4" activePane="bottomRight" state="frozen"/>
      <selection pane="topRight" activeCell="X1" sqref="X1"/>
      <selection pane="bottomLeft" activeCell="A4" sqref="A4"/>
      <selection pane="bottomRight"/>
    </sheetView>
  </sheetViews>
  <sheetFormatPr defaultColWidth="8.85546875" defaultRowHeight="15" x14ac:dyDescent="0.25"/>
  <cols>
    <col min="1" max="1" width="1.7109375" style="17" customWidth="1"/>
    <col min="2" max="2" width="4.42578125" style="17" customWidth="1"/>
    <col min="3" max="3" width="4.28515625" style="17" customWidth="1"/>
    <col min="4" max="4" width="26.140625" style="17" bestFit="1" customWidth="1"/>
    <col min="5" max="5" width="10.5703125" style="17" customWidth="1"/>
    <col min="6" max="7" width="4.42578125" style="17" customWidth="1"/>
    <col min="8" max="8" width="8.140625" style="17" customWidth="1"/>
    <col min="9" max="10" width="4.42578125" style="17" customWidth="1"/>
    <col min="11" max="11" width="30.28515625" style="17" bestFit="1" customWidth="1"/>
    <col min="12" max="12" width="11.5703125" style="17" customWidth="1"/>
    <col min="13" max="13" width="5.5703125" style="17" customWidth="1"/>
    <col min="14" max="14" width="28" style="17" bestFit="1" customWidth="1"/>
    <col min="15" max="15" width="11.7109375" style="17" customWidth="1"/>
    <col min="16" max="18" width="4.42578125" style="17" customWidth="1"/>
    <col min="19" max="19" width="25.28515625" style="17" bestFit="1" customWidth="1"/>
    <col min="20" max="20" width="17.7109375" style="17" bestFit="1" customWidth="1"/>
    <col min="21" max="22" width="4.42578125" style="17" customWidth="1"/>
    <col min="23" max="23" width="85.28515625" style="17" customWidth="1"/>
    <col min="24" max="16384" width="8.85546875" style="17"/>
  </cols>
  <sheetData>
    <row r="1" spans="2:22" ht="6" customHeight="1" x14ac:dyDescent="0.25"/>
    <row r="2" spans="2:22" ht="32.25" thickBot="1" x14ac:dyDescent="0.55000000000000004">
      <c r="B2" s="81" t="s">
        <v>63</v>
      </c>
      <c r="C2" s="81"/>
      <c r="D2" s="81"/>
      <c r="E2" s="81"/>
      <c r="F2" s="81"/>
      <c r="G2" s="81"/>
      <c r="H2" s="81"/>
      <c r="I2" s="81"/>
      <c r="J2" s="81"/>
      <c r="K2" s="81"/>
      <c r="L2" s="81"/>
      <c r="M2" s="81"/>
      <c r="N2" s="81"/>
      <c r="O2" s="81"/>
      <c r="P2" s="81"/>
      <c r="Q2" s="81"/>
      <c r="R2" s="81"/>
      <c r="S2" s="81"/>
      <c r="T2" s="81"/>
      <c r="U2" s="81"/>
    </row>
    <row r="3" spans="2:22" s="189" customFormat="1" ht="28.15" customHeight="1" thickTop="1" thickBot="1" x14ac:dyDescent="0.3"/>
    <row r="4" spans="2:22" ht="9.6" customHeight="1" thickBot="1" x14ac:dyDescent="0.3">
      <c r="B4" s="20"/>
      <c r="C4" s="131"/>
      <c r="D4" s="131"/>
      <c r="E4" s="131"/>
      <c r="F4" s="131"/>
      <c r="G4" s="131"/>
      <c r="H4" s="131"/>
      <c r="I4" s="131"/>
      <c r="J4" s="131"/>
      <c r="K4" s="131"/>
      <c r="L4" s="131"/>
      <c r="M4" s="131"/>
      <c r="N4" s="131"/>
      <c r="O4" s="131"/>
      <c r="P4" s="131"/>
      <c r="Q4" s="131"/>
      <c r="R4" s="131"/>
      <c r="S4" s="131"/>
      <c r="T4" s="131"/>
      <c r="U4" s="131"/>
    </row>
    <row r="5" spans="2:22" ht="20.25" thickBot="1" x14ac:dyDescent="0.35">
      <c r="B5" s="131"/>
      <c r="C5" s="230" t="s">
        <v>24</v>
      </c>
      <c r="D5" s="231"/>
      <c r="E5" s="232">
        <v>2018</v>
      </c>
      <c r="F5" s="233"/>
      <c r="G5" s="152"/>
      <c r="H5" s="152"/>
      <c r="I5" s="152"/>
      <c r="J5" s="230" t="s">
        <v>25</v>
      </c>
      <c r="K5" s="231"/>
      <c r="L5" s="231"/>
      <c r="M5" s="232">
        <f>IF(ISBLANK(Dashboard!$AE$13),2019,Dashboard!$AE$13)</f>
        <v>2019</v>
      </c>
      <c r="N5" s="232"/>
      <c r="O5" s="232"/>
      <c r="P5" s="233"/>
      <c r="Q5" s="152"/>
      <c r="R5" s="230" t="s">
        <v>26</v>
      </c>
      <c r="S5" s="231"/>
      <c r="T5" s="231"/>
      <c r="U5" s="234"/>
    </row>
    <row r="6" spans="2:22" ht="15.75" thickTop="1" x14ac:dyDescent="0.25">
      <c r="B6" s="131"/>
      <c r="C6" s="132"/>
      <c r="D6" s="133"/>
      <c r="E6" s="133"/>
      <c r="F6" s="134"/>
      <c r="G6" s="131"/>
      <c r="H6" s="131"/>
      <c r="I6" s="131"/>
      <c r="J6" s="132"/>
      <c r="K6" s="133"/>
      <c r="L6" s="133"/>
      <c r="M6" s="133"/>
      <c r="N6" s="133"/>
      <c r="O6" s="133"/>
      <c r="P6" s="134"/>
      <c r="Q6" s="131"/>
      <c r="R6" s="132"/>
      <c r="S6" s="133"/>
      <c r="T6" s="133"/>
      <c r="U6" s="134"/>
    </row>
    <row r="7" spans="2:22" x14ac:dyDescent="0.25">
      <c r="B7" s="131"/>
      <c r="C7" s="132"/>
      <c r="D7" s="133" t="s">
        <v>27</v>
      </c>
      <c r="E7" s="135">
        <f>IF('Control Sheet'!$K$4, INDEX(Metrics!$D$10:$R$28, MATCH($E$5, Metrics!$D$10:$D$28, 0), MATCH($D7&amp;'Control Sheet'!$K$9, Metrics!$D$10:$R$10, 0)), Dashboard!AE$10)</f>
        <v>66262</v>
      </c>
      <c r="F7" s="134"/>
      <c r="G7" s="131"/>
      <c r="H7" s="131"/>
      <c r="I7" s="131"/>
      <c r="J7" s="132"/>
      <c r="K7" s="133" t="s">
        <v>27</v>
      </c>
      <c r="L7" s="3">
        <f>IF('Control Sheet'!P4, INDEX(Metrics!$D$10:$R$28, MATCH($M$5, Metrics!$D$10:$D$28, 0), MATCH($K7&amp;'Control Sheet'!$K$9, Metrics!$D$10:$R$10, 0)), IF('Control Sheet'!$P$7,'Compostable Cup Scenario'!$E$7,Dashboard!$AJ$13))</f>
        <v>81753.173721494197</v>
      </c>
      <c r="M7" s="133"/>
      <c r="N7" s="133" t="s">
        <v>51</v>
      </c>
      <c r="O7" s="137">
        <f ca="1">(O13-O12)*L11</f>
        <v>4531.8000000000011</v>
      </c>
      <c r="P7" s="134"/>
      <c r="Q7" s="131"/>
      <c r="R7" s="132"/>
      <c r="S7" s="133" t="s">
        <v>50</v>
      </c>
      <c r="T7" s="137">
        <f ca="1">O14-E9</f>
        <v>48990.450000000012</v>
      </c>
      <c r="U7" s="134"/>
    </row>
    <row r="8" spans="2:22" ht="15.75" thickBot="1" x14ac:dyDescent="0.3">
      <c r="B8" s="131"/>
      <c r="C8" s="132"/>
      <c r="D8" s="133"/>
      <c r="E8" s="133"/>
      <c r="F8" s="134"/>
      <c r="G8" s="237" t="str">
        <f>IF('Control Sheet'!P4,"+ Natural Demand Increase","")</f>
        <v>+ Natural Demand Increase</v>
      </c>
      <c r="H8" s="238"/>
      <c r="I8" s="239"/>
      <c r="J8" s="83"/>
      <c r="K8" s="138" t="s">
        <v>29</v>
      </c>
      <c r="L8" s="159">
        <f ca="1">Metrics!V9</f>
        <v>0.15</v>
      </c>
      <c r="M8" s="133"/>
      <c r="N8" s="133"/>
      <c r="O8" s="133"/>
      <c r="P8" s="134"/>
      <c r="Q8" s="131"/>
      <c r="R8" s="132"/>
      <c r="S8" s="138" t="s">
        <v>52</v>
      </c>
      <c r="T8" s="137">
        <f ca="1">L18-E11</f>
        <v>3740.2999999999993</v>
      </c>
      <c r="U8" s="134"/>
    </row>
    <row r="9" spans="2:22" ht="16.5" thickTop="1" thickBot="1" x14ac:dyDescent="0.3">
      <c r="B9" s="131"/>
      <c r="C9" s="132"/>
      <c r="D9" s="133" t="s">
        <v>31</v>
      </c>
      <c r="E9" s="161">
        <f>IF('Control Sheet'!$K$5, INDEX(Metrics!$D$10:$R$28, MATCH($E$5, Metrics!$D$10:$D$28, 0), MATCH($D9&amp;'Control Sheet'!$K$9, Metrics!$D$10:$R$10, 0)), Dashboard!$AE$11)</f>
        <v>275533.75</v>
      </c>
      <c r="F9" s="134"/>
      <c r="G9" s="237"/>
      <c r="H9" s="238"/>
      <c r="I9" s="239"/>
      <c r="J9" s="83"/>
      <c r="K9" s="133" t="s">
        <v>32</v>
      </c>
      <c r="L9" s="136">
        <f ca="1">ROUND($L$7*(1+$L$8),0)</f>
        <v>94016</v>
      </c>
      <c r="M9" s="133"/>
      <c r="N9" s="133" t="s">
        <v>41</v>
      </c>
      <c r="O9" s="9">
        <f ca="1">L12-O18</f>
        <v>74582.559999999998</v>
      </c>
      <c r="P9" s="134"/>
      <c r="Q9" s="131"/>
      <c r="R9" s="132"/>
      <c r="S9" s="133" t="s">
        <v>53</v>
      </c>
      <c r="T9" s="88">
        <f ca="1">T7-T8</f>
        <v>45250.150000000009</v>
      </c>
      <c r="U9" s="134"/>
    </row>
    <row r="10" spans="2:22" ht="16.5" thickTop="1" thickBot="1" x14ac:dyDescent="0.3">
      <c r="B10" s="131"/>
      <c r="C10" s="132"/>
      <c r="D10" s="138" t="s">
        <v>35</v>
      </c>
      <c r="E10" s="139">
        <f>Dashboard!AE25</f>
        <v>0.05</v>
      </c>
      <c r="F10" s="134"/>
      <c r="G10" s="131"/>
      <c r="H10" s="131"/>
      <c r="I10" s="131"/>
      <c r="J10" s="132"/>
      <c r="K10" s="138" t="s">
        <v>54</v>
      </c>
      <c r="L10" s="159">
        <f ca="1">IF('Control Sheet'!N18, RANDBETWEEN(Dashboard!AG27,Dashboard!AI27)/100, Dashboard!AI24)</f>
        <v>0.14000000000000001</v>
      </c>
      <c r="M10" s="133"/>
      <c r="N10" s="133"/>
      <c r="O10" s="133"/>
      <c r="P10" s="134"/>
      <c r="Q10" s="131"/>
      <c r="R10" s="140"/>
      <c r="S10" s="141"/>
      <c r="T10" s="141"/>
      <c r="U10" s="142"/>
    </row>
    <row r="11" spans="2:22" ht="16.5" thickTop="1" thickBot="1" x14ac:dyDescent="0.3">
      <c r="B11" s="131"/>
      <c r="C11" s="132"/>
      <c r="D11" s="133" t="s">
        <v>38</v>
      </c>
      <c r="E11" s="143">
        <f>E7*E10</f>
        <v>3313.1000000000004</v>
      </c>
      <c r="F11" s="134"/>
      <c r="G11" s="131"/>
      <c r="H11" s="131"/>
      <c r="I11" s="131"/>
      <c r="J11" s="132"/>
      <c r="K11" s="144" t="s">
        <v>55</v>
      </c>
      <c r="L11" s="9">
        <f ca="1">_xlfn.BINOM.INV($L$9,$L$10,Metrics!$AA$9)</f>
        <v>12948</v>
      </c>
      <c r="M11" s="133"/>
      <c r="N11" s="133" t="s">
        <v>56</v>
      </c>
      <c r="O11" s="136">
        <f ca="1">L11</f>
        <v>12948</v>
      </c>
      <c r="P11" s="134"/>
      <c r="Q11" s="131"/>
      <c r="R11" s="131"/>
      <c r="S11" s="131"/>
      <c r="T11" s="131"/>
      <c r="U11" s="131"/>
    </row>
    <row r="12" spans="2:22" ht="16.5" thickTop="1" thickBot="1" x14ac:dyDescent="0.3">
      <c r="B12" s="131"/>
      <c r="C12" s="140"/>
      <c r="D12" s="141"/>
      <c r="E12" s="141"/>
      <c r="F12" s="142"/>
      <c r="G12" s="131"/>
      <c r="H12" s="131"/>
      <c r="I12" s="131"/>
      <c r="J12" s="132"/>
      <c r="K12" s="133" t="s">
        <v>64</v>
      </c>
      <c r="L12" s="9">
        <f ca="1">$L$9-$L$11</f>
        <v>81068</v>
      </c>
      <c r="M12" s="133"/>
      <c r="N12" s="133" t="s">
        <v>58</v>
      </c>
      <c r="O12" s="145">
        <f>(100-Dashboard!AD18)/100*Dashboard!AE27</f>
        <v>3.15</v>
      </c>
      <c r="P12" s="134"/>
      <c r="Q12" s="131"/>
      <c r="R12" s="131"/>
      <c r="S12" s="131"/>
      <c r="T12" s="131"/>
      <c r="U12" s="131"/>
    </row>
    <row r="13" spans="2:22" ht="15.75" thickBot="1" x14ac:dyDescent="0.3">
      <c r="B13" s="131"/>
      <c r="C13" s="131"/>
      <c r="D13" s="131"/>
      <c r="E13" s="131"/>
      <c r="F13" s="131"/>
      <c r="G13" s="131"/>
      <c r="H13" s="131"/>
      <c r="I13" s="131"/>
      <c r="J13" s="132"/>
      <c r="K13" s="133"/>
      <c r="L13" s="133"/>
      <c r="M13" s="133"/>
      <c r="N13" s="138" t="s">
        <v>65</v>
      </c>
      <c r="O13" s="146">
        <f>Dashboard!AE27</f>
        <v>3.5</v>
      </c>
      <c r="P13" s="134"/>
      <c r="Q13" s="131"/>
      <c r="R13" s="131"/>
      <c r="S13" s="131"/>
      <c r="T13" s="131"/>
      <c r="U13" s="131"/>
    </row>
    <row r="14" spans="2:22" ht="15.75" thickTop="1" x14ac:dyDescent="0.25">
      <c r="B14" s="131"/>
      <c r="C14" s="131"/>
      <c r="D14" s="247" t="s">
        <v>42</v>
      </c>
      <c r="E14" s="247"/>
      <c r="F14" s="131"/>
      <c r="G14" s="131"/>
      <c r="H14" s="131"/>
      <c r="I14" s="131"/>
      <c r="J14" s="132"/>
      <c r="K14" s="133" t="s">
        <v>66</v>
      </c>
      <c r="L14" s="136">
        <f ca="1">L12</f>
        <v>81068</v>
      </c>
      <c r="M14" s="133"/>
      <c r="N14" s="133" t="s">
        <v>40</v>
      </c>
      <c r="O14" s="143">
        <f ca="1">($O$12*$O$11)+($O$13*$L$12)</f>
        <v>324524.2</v>
      </c>
      <c r="P14" s="134"/>
      <c r="Q14" s="131"/>
      <c r="R14" s="131"/>
      <c r="S14" s="240"/>
      <c r="T14" s="241"/>
      <c r="U14" s="131"/>
      <c r="V14" s="17" t="s">
        <v>61</v>
      </c>
    </row>
    <row r="15" spans="2:22" ht="15.75" thickBot="1" x14ac:dyDescent="0.3">
      <c r="B15" s="131"/>
      <c r="C15" s="131"/>
      <c r="D15" s="248" t="s">
        <v>43</v>
      </c>
      <c r="E15" s="248"/>
      <c r="F15" s="131"/>
      <c r="G15" s="131"/>
      <c r="H15" s="131"/>
      <c r="I15" s="131"/>
      <c r="J15" s="132"/>
      <c r="K15" s="138" t="s">
        <v>35</v>
      </c>
      <c r="L15" s="147">
        <f>Dashboard!AE26</f>
        <v>0.11</v>
      </c>
      <c r="M15" s="133"/>
      <c r="N15" s="133"/>
      <c r="O15" s="133"/>
      <c r="P15" s="134"/>
      <c r="Q15" s="131"/>
      <c r="R15" s="131"/>
      <c r="S15" s="242"/>
      <c r="T15" s="243"/>
      <c r="U15" s="131"/>
    </row>
    <row r="16" spans="2:22" ht="16.5" thickTop="1" thickBot="1" x14ac:dyDescent="0.3">
      <c r="B16" s="131"/>
      <c r="C16" s="131"/>
      <c r="D16" s="246" t="s">
        <v>45</v>
      </c>
      <c r="E16" s="246"/>
      <c r="F16" s="131"/>
      <c r="G16" s="131"/>
      <c r="H16" s="131"/>
      <c r="I16" s="131"/>
      <c r="J16" s="132"/>
      <c r="K16" s="133" t="s">
        <v>46</v>
      </c>
      <c r="L16" s="148">
        <f ca="1">$L$12*$E$10</f>
        <v>4053.4</v>
      </c>
      <c r="M16" s="133"/>
      <c r="N16" s="133" t="s">
        <v>66</v>
      </c>
      <c r="O16" s="136">
        <f ca="1">L12</f>
        <v>81068</v>
      </c>
      <c r="P16" s="134"/>
      <c r="Q16" s="131"/>
      <c r="R16" s="131"/>
      <c r="S16" s="244"/>
      <c r="T16" s="245"/>
      <c r="U16" s="131"/>
    </row>
    <row r="17" spans="2:21" ht="16.5" thickTop="1" thickBot="1" x14ac:dyDescent="0.3">
      <c r="B17" s="131"/>
      <c r="C17" s="131"/>
      <c r="D17" s="229" t="s">
        <v>47</v>
      </c>
      <c r="E17" s="229"/>
      <c r="F17" s="131"/>
      <c r="G17" s="131"/>
      <c r="H17" s="131"/>
      <c r="I17" s="131"/>
      <c r="J17" s="132"/>
      <c r="K17" s="138" t="s">
        <v>48</v>
      </c>
      <c r="L17" s="149">
        <f>Dashboard!AD23</f>
        <v>3000</v>
      </c>
      <c r="M17" s="133"/>
      <c r="N17" s="150" t="s">
        <v>36</v>
      </c>
      <c r="O17" s="159">
        <f ca="1">IF('Control Sheet'!N12, RANDBETWEEN(Dashboard!AG20,Dashboard!AI20)/100, Dashboard!AI17)</f>
        <v>0.08</v>
      </c>
      <c r="P17" s="134"/>
      <c r="Q17" s="131"/>
      <c r="R17" s="131"/>
      <c r="S17" s="131"/>
      <c r="T17" s="131"/>
      <c r="U17" s="131"/>
    </row>
    <row r="18" spans="2:21" ht="16.5" thickTop="1" thickBot="1" x14ac:dyDescent="0.3">
      <c r="B18" s="131"/>
      <c r="C18" s="131"/>
      <c r="D18" s="131"/>
      <c r="E18" s="131"/>
      <c r="F18" s="131"/>
      <c r="G18" s="131"/>
      <c r="H18" s="131"/>
      <c r="I18" s="131"/>
      <c r="J18" s="132"/>
      <c r="K18" s="133" t="s">
        <v>38</v>
      </c>
      <c r="L18" s="143">
        <f ca="1">L16+L17</f>
        <v>7053.4</v>
      </c>
      <c r="M18" s="133"/>
      <c r="N18" s="133" t="s">
        <v>39</v>
      </c>
      <c r="O18" s="9">
        <f ca="1">O16*O17</f>
        <v>6485.4400000000005</v>
      </c>
      <c r="P18" s="134"/>
      <c r="Q18" s="131"/>
      <c r="R18" s="131"/>
      <c r="S18" s="131"/>
      <c r="T18" s="131"/>
      <c r="U18" s="131"/>
    </row>
    <row r="19" spans="2:21" ht="16.5" thickTop="1" thickBot="1" x14ac:dyDescent="0.3">
      <c r="B19" s="131"/>
      <c r="C19" s="131"/>
      <c r="D19" s="131"/>
      <c r="E19" s="131"/>
      <c r="F19" s="131"/>
      <c r="G19" s="131"/>
      <c r="H19" s="131"/>
      <c r="I19" s="131"/>
      <c r="J19" s="140"/>
      <c r="K19" s="141"/>
      <c r="L19" s="141"/>
      <c r="M19" s="141"/>
      <c r="N19" s="151"/>
      <c r="O19" s="141"/>
      <c r="P19" s="142"/>
      <c r="Q19" s="131"/>
      <c r="R19" s="131"/>
      <c r="S19" s="131" t="s">
        <v>61</v>
      </c>
      <c r="T19" s="131"/>
      <c r="U19" s="131"/>
    </row>
  </sheetData>
  <sheetProtection sheet="1" objects="1" scenarios="1"/>
  <mergeCells count="11">
    <mergeCell ref="D16:E16"/>
    <mergeCell ref="D17:E17"/>
    <mergeCell ref="C5:D5"/>
    <mergeCell ref="E5:F5"/>
    <mergeCell ref="R5:U5"/>
    <mergeCell ref="D14:E14"/>
    <mergeCell ref="D15:E15"/>
    <mergeCell ref="M5:P5"/>
    <mergeCell ref="J5:L5"/>
    <mergeCell ref="G8:I9"/>
    <mergeCell ref="S14:T16"/>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myRecalc">
                <anchor moveWithCells="1" sizeWithCells="1">
                  <from>
                    <xdr:col>18</xdr:col>
                    <xdr:colOff>714375</xdr:colOff>
                    <xdr:row>13</xdr:row>
                    <xdr:rowOff>95250</xdr:rowOff>
                  </from>
                  <to>
                    <xdr:col>19</xdr:col>
                    <xdr:colOff>485775</xdr:colOff>
                    <xdr:row>15</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353D75-7873-4F79-81C2-E92F5EAB522E}">
  <sheetPr codeName="Sheet6"/>
  <dimension ref="B1:AO148"/>
  <sheetViews>
    <sheetView showGridLines="0" showRowColHeaders="0" zoomScale="60" zoomScaleNormal="60" workbookViewId="0">
      <pane ySplit="5" topLeftCell="A6" activePane="bottomLeft" state="frozen"/>
      <selection pane="bottomLeft"/>
    </sheetView>
  </sheetViews>
  <sheetFormatPr defaultColWidth="8.85546875" defaultRowHeight="15" x14ac:dyDescent="0.25"/>
  <cols>
    <col min="1" max="1" width="2.7109375" style="17" customWidth="1"/>
    <col min="2" max="2" width="3.7109375" style="17" customWidth="1"/>
    <col min="3" max="3" width="3.5703125" style="17" customWidth="1"/>
    <col min="4" max="4" width="16.5703125" style="17" customWidth="1"/>
    <col min="5" max="5" width="20.42578125" style="17" bestFit="1" customWidth="1"/>
    <col min="6" max="6" width="36" style="17" customWidth="1"/>
    <col min="7" max="7" width="26" style="17" bestFit="1" customWidth="1"/>
    <col min="8" max="8" width="2.7109375" style="17" customWidth="1"/>
    <col min="9" max="9" width="4.5703125" style="17" customWidth="1"/>
    <col min="10" max="10" width="3.7109375" style="17" customWidth="1"/>
    <col min="11" max="11" width="16.5703125" style="17" customWidth="1"/>
    <col min="12" max="12" width="20.42578125" style="17" bestFit="1" customWidth="1"/>
    <col min="13" max="13" width="36" style="17" customWidth="1"/>
    <col min="14" max="14" width="25.28515625" style="17" bestFit="1" customWidth="1"/>
    <col min="15" max="15" width="3.28515625" style="17" customWidth="1"/>
    <col min="16" max="16" width="4.28515625" style="17" customWidth="1"/>
    <col min="17" max="17" width="3.7109375" style="17" customWidth="1"/>
    <col min="18" max="18" width="16.5703125" style="17" customWidth="1"/>
    <col min="19" max="19" width="18.7109375" style="17" bestFit="1" customWidth="1"/>
    <col min="20" max="20" width="36" style="17" customWidth="1"/>
    <col min="21" max="21" width="17.7109375" style="17" bestFit="1" customWidth="1"/>
    <col min="22" max="22" width="4.7109375" style="17" customWidth="1"/>
    <col min="23" max="23" width="29.28515625" style="17" customWidth="1"/>
    <col min="24" max="27" width="8.85546875" style="17"/>
    <col min="28" max="28" width="16.28515625" style="17" customWidth="1"/>
    <col min="29" max="29" width="8.28515625" style="17" customWidth="1"/>
    <col min="30" max="30" width="14.28515625" style="17" customWidth="1"/>
    <col min="31" max="31" width="11.28515625" style="17" bestFit="1" customWidth="1"/>
    <col min="32" max="32" width="8.85546875" style="17"/>
    <col min="33" max="33" width="15.7109375" style="17" customWidth="1"/>
    <col min="34" max="34" width="6.42578125" style="17" customWidth="1"/>
    <col min="35" max="35" width="15.42578125" style="17" customWidth="1"/>
    <col min="36" max="36" width="15.5703125" style="17" bestFit="1" customWidth="1"/>
    <col min="37" max="16384" width="8.85546875" style="17"/>
  </cols>
  <sheetData>
    <row r="1" spans="2:41" ht="10.15" customHeight="1" x14ac:dyDescent="0.25"/>
    <row r="2" spans="2:41" ht="47.25" thickBot="1" x14ac:dyDescent="0.75">
      <c r="B2" s="249" t="s">
        <v>67</v>
      </c>
      <c r="C2" s="249"/>
      <c r="D2" s="249"/>
      <c r="E2" s="249"/>
      <c r="F2" s="249"/>
      <c r="G2" s="249"/>
      <c r="H2" s="249"/>
      <c r="I2" s="249"/>
      <c r="J2" s="249"/>
      <c r="K2" s="249"/>
      <c r="L2" s="249"/>
      <c r="M2" s="249"/>
      <c r="N2" s="16"/>
      <c r="O2" s="16"/>
      <c r="P2" s="16"/>
      <c r="Q2" s="16"/>
      <c r="R2" s="16"/>
      <c r="S2" s="16"/>
      <c r="T2" s="16"/>
      <c r="U2" s="16"/>
      <c r="V2" s="16"/>
    </row>
    <row r="3" spans="2:41" ht="6.6" customHeight="1" thickTop="1" x14ac:dyDescent="0.3">
      <c r="B3" s="18"/>
      <c r="C3" s="18"/>
      <c r="D3" s="18"/>
      <c r="E3" s="18"/>
      <c r="F3" s="18"/>
      <c r="G3" s="18"/>
      <c r="H3" s="18"/>
      <c r="I3" s="18"/>
      <c r="J3" s="18"/>
      <c r="K3" s="18"/>
      <c r="L3" s="18"/>
      <c r="M3" s="18"/>
      <c r="N3" s="18"/>
      <c r="O3" s="18"/>
    </row>
    <row r="4" spans="2:41" ht="26.25" x14ac:dyDescent="0.4">
      <c r="B4" s="258"/>
      <c r="C4" s="258"/>
      <c r="D4" s="258"/>
      <c r="E4" s="99"/>
      <c r="T4" s="114"/>
      <c r="U4" s="114"/>
      <c r="V4" s="114"/>
      <c r="X4" s="18"/>
      <c r="Y4" s="18"/>
      <c r="Z4" s="18"/>
      <c r="AA4" s="18"/>
      <c r="AB4" s="18"/>
      <c r="AC4" s="18"/>
      <c r="AD4" s="18"/>
      <c r="AE4" s="18"/>
      <c r="AF4" s="18"/>
      <c r="AG4" s="18"/>
      <c r="AH4" s="18"/>
      <c r="AI4" s="18"/>
      <c r="AJ4" s="18"/>
      <c r="AK4" s="18"/>
      <c r="AL4" s="18"/>
      <c r="AM4" s="18"/>
      <c r="AN4" s="18"/>
      <c r="AO4" s="18"/>
    </row>
    <row r="5" spans="2:41" s="189" customFormat="1" ht="9.6" customHeight="1" thickBot="1" x14ac:dyDescent="0.45">
      <c r="B5" s="187"/>
      <c r="C5" s="188"/>
      <c r="D5" s="188"/>
      <c r="E5" s="188"/>
      <c r="T5" s="190"/>
      <c r="U5" s="190"/>
      <c r="V5" s="190"/>
      <c r="X5" s="191"/>
      <c r="Y5" s="191"/>
      <c r="Z5" s="191"/>
      <c r="AA5" s="279"/>
      <c r="AB5" s="279"/>
      <c r="AC5" s="279"/>
    </row>
    <row r="6" spans="2:41" ht="7.9" customHeight="1" x14ac:dyDescent="0.4">
      <c r="B6" s="100"/>
      <c r="C6" s="99"/>
      <c r="D6" s="99"/>
      <c r="E6" s="99"/>
      <c r="T6" s="114"/>
      <c r="U6" s="114"/>
      <c r="V6" s="114"/>
      <c r="X6" s="92"/>
      <c r="Y6" s="92"/>
      <c r="Z6" s="92"/>
      <c r="AA6" s="21"/>
      <c r="AB6" s="21"/>
      <c r="AC6" s="21"/>
    </row>
    <row r="7" spans="2:41" ht="21.6" customHeight="1" thickBot="1" x14ac:dyDescent="0.45">
      <c r="B7" s="258"/>
      <c r="C7" s="258"/>
      <c r="D7" s="258"/>
      <c r="E7" s="99"/>
      <c r="T7" s="114"/>
      <c r="U7" s="114"/>
      <c r="V7" s="114"/>
      <c r="X7" s="20"/>
      <c r="Y7" s="20"/>
      <c r="Z7" s="20"/>
    </row>
    <row r="8" spans="2:41" ht="29.25" thickBot="1" x14ac:dyDescent="0.5">
      <c r="B8" s="99"/>
      <c r="C8" s="99"/>
      <c r="D8" s="99"/>
      <c r="E8" s="99"/>
      <c r="T8" s="114"/>
      <c r="U8" s="114"/>
      <c r="V8" s="114"/>
      <c r="AA8" s="280" t="s">
        <v>68</v>
      </c>
      <c r="AB8" s="281"/>
      <c r="AC8" s="281"/>
      <c r="AD8" s="281"/>
      <c r="AE8" s="281"/>
      <c r="AF8" s="281"/>
      <c r="AG8" s="281"/>
      <c r="AH8" s="281"/>
      <c r="AI8" s="281"/>
      <c r="AJ8" s="281"/>
      <c r="AK8" s="282"/>
    </row>
    <row r="9" spans="2:41" ht="27.75" thickTop="1" thickBot="1" x14ac:dyDescent="0.45">
      <c r="B9" s="267"/>
      <c r="C9" s="267"/>
      <c r="D9" s="267"/>
      <c r="E9" s="267"/>
      <c r="T9" s="114"/>
      <c r="U9" s="114"/>
      <c r="V9" s="114"/>
      <c r="AA9" s="165"/>
      <c r="AB9" s="46"/>
      <c r="AC9" s="46"/>
      <c r="AD9" s="46"/>
      <c r="AE9" s="46"/>
      <c r="AF9" s="46"/>
      <c r="AG9" s="46"/>
      <c r="AH9" s="46"/>
      <c r="AI9" s="46"/>
      <c r="AJ9" s="46"/>
      <c r="AK9" s="166"/>
    </row>
    <row r="10" spans="2:41" ht="25.9" customHeight="1" x14ac:dyDescent="0.4">
      <c r="B10" s="263"/>
      <c r="C10" s="263"/>
      <c r="D10" s="263"/>
      <c r="E10" s="99"/>
      <c r="T10" s="114"/>
      <c r="U10" s="114"/>
      <c r="V10" s="114"/>
      <c r="AA10" s="165"/>
      <c r="AB10" s="264" t="s">
        <v>69</v>
      </c>
      <c r="AC10" s="265"/>
      <c r="AD10" s="266"/>
      <c r="AE10" s="201"/>
      <c r="AF10" s="46"/>
      <c r="AG10" s="301" t="s">
        <v>70</v>
      </c>
      <c r="AH10" s="302"/>
      <c r="AI10" s="303"/>
      <c r="AJ10" s="307"/>
      <c r="AK10" s="166"/>
    </row>
    <row r="11" spans="2:41" ht="27" thickBot="1" x14ac:dyDescent="0.45">
      <c r="B11" s="263"/>
      <c r="C11" s="263"/>
      <c r="D11" s="263"/>
      <c r="E11" s="99"/>
      <c r="T11" s="114"/>
      <c r="U11" s="114"/>
      <c r="V11" s="114"/>
      <c r="AA11" s="165"/>
      <c r="AB11" s="285" t="s">
        <v>71</v>
      </c>
      <c r="AC11" s="286"/>
      <c r="AD11" s="287"/>
      <c r="AE11" s="202"/>
      <c r="AF11" s="46"/>
      <c r="AG11" s="304"/>
      <c r="AH11" s="305"/>
      <c r="AI11" s="306"/>
      <c r="AJ11" s="308"/>
      <c r="AK11" s="166"/>
    </row>
    <row r="12" spans="2:41" ht="27" thickBot="1" x14ac:dyDescent="0.45">
      <c r="B12" s="263"/>
      <c r="C12" s="263"/>
      <c r="D12" s="263"/>
      <c r="E12" s="99"/>
      <c r="T12" s="19"/>
      <c r="U12" s="19"/>
      <c r="V12" s="19"/>
      <c r="AA12" s="165"/>
      <c r="AB12" s="54"/>
      <c r="AC12" s="54"/>
      <c r="AD12" s="54"/>
      <c r="AE12" s="54"/>
      <c r="AF12" s="46"/>
      <c r="AG12" s="296" t="s">
        <v>72</v>
      </c>
      <c r="AH12" s="296"/>
      <c r="AI12" s="296"/>
      <c r="AJ12" s="296"/>
      <c r="AK12" s="166"/>
    </row>
    <row r="13" spans="2:41" ht="24" thickBot="1" x14ac:dyDescent="0.4">
      <c r="B13" s="21"/>
      <c r="C13" s="21"/>
      <c r="D13" s="21"/>
      <c r="AA13" s="165"/>
      <c r="AB13" s="283" t="s">
        <v>73</v>
      </c>
      <c r="AC13" s="284"/>
      <c r="AD13" s="284"/>
      <c r="AE13" s="203">
        <v>2019</v>
      </c>
      <c r="AF13" s="46"/>
      <c r="AG13" s="283" t="s">
        <v>74</v>
      </c>
      <c r="AH13" s="284"/>
      <c r="AI13" s="309"/>
      <c r="AJ13" s="207"/>
      <c r="AK13" s="166"/>
    </row>
    <row r="14" spans="2:41" ht="21" customHeight="1" thickBot="1" x14ac:dyDescent="0.4">
      <c r="B14" s="21"/>
      <c r="C14" s="21"/>
      <c r="D14" s="21"/>
      <c r="AA14" s="165"/>
      <c r="AB14" s="46"/>
      <c r="AC14" s="46"/>
      <c r="AD14" s="46"/>
      <c r="AE14" s="46"/>
      <c r="AF14" s="46"/>
      <c r="AG14" s="54"/>
      <c r="AH14" s="54"/>
      <c r="AI14" s="54"/>
      <c r="AJ14" s="54"/>
      <c r="AK14" s="166"/>
    </row>
    <row r="15" spans="2:41" ht="21.6" customHeight="1" thickBot="1" x14ac:dyDescent="0.4">
      <c r="B15" s="21"/>
      <c r="C15" s="21"/>
      <c r="D15" s="21"/>
      <c r="AA15" s="165"/>
      <c r="AB15" s="268" t="s">
        <v>75</v>
      </c>
      <c r="AC15" s="269"/>
      <c r="AD15" s="156" t="s">
        <v>76</v>
      </c>
      <c r="AE15" s="104"/>
      <c r="AF15" s="46"/>
      <c r="AG15" s="54"/>
      <c r="AH15" s="54"/>
      <c r="AI15" s="54"/>
      <c r="AJ15" s="54"/>
      <c r="AK15" s="166"/>
    </row>
    <row r="16" spans="2:41" ht="21.6" customHeight="1" thickBot="1" x14ac:dyDescent="0.4">
      <c r="B16" s="21"/>
      <c r="C16" s="21"/>
      <c r="D16" s="21"/>
      <c r="AA16" s="165"/>
      <c r="AB16" s="270"/>
      <c r="AC16" s="271"/>
      <c r="AD16" s="186" t="s">
        <v>77</v>
      </c>
      <c r="AE16" s="91"/>
      <c r="AF16" s="46"/>
      <c r="AG16" s="310" t="s">
        <v>36</v>
      </c>
      <c r="AH16" s="311"/>
      <c r="AI16" s="311"/>
      <c r="AJ16" s="312"/>
      <c r="AK16" s="166"/>
    </row>
    <row r="17" spans="2:37" ht="22.5" thickTop="1" thickBot="1" x14ac:dyDescent="0.4">
      <c r="B17" s="21"/>
      <c r="C17" s="21"/>
      <c r="D17" s="21"/>
      <c r="AA17" s="165"/>
      <c r="AB17" s="46"/>
      <c r="AC17" s="46"/>
      <c r="AD17" s="46"/>
      <c r="AE17" s="46"/>
      <c r="AF17" s="46"/>
      <c r="AG17" s="297" t="s">
        <v>78</v>
      </c>
      <c r="AH17" s="298"/>
      <c r="AI17" s="299"/>
      <c r="AJ17" s="300"/>
      <c r="AK17" s="166"/>
    </row>
    <row r="18" spans="2:37" ht="21.75" thickBot="1" x14ac:dyDescent="0.4">
      <c r="B18" s="21"/>
      <c r="C18" s="21"/>
      <c r="D18" s="21"/>
      <c r="AA18" s="165"/>
      <c r="AB18" s="313" t="s">
        <v>79</v>
      </c>
      <c r="AC18" s="314"/>
      <c r="AD18" s="210">
        <v>10</v>
      </c>
      <c r="AE18" s="211" t="s">
        <v>80</v>
      </c>
      <c r="AF18" s="46"/>
      <c r="AG18" s="296" t="s">
        <v>72</v>
      </c>
      <c r="AH18" s="296"/>
      <c r="AI18" s="296"/>
      <c r="AJ18" s="296"/>
      <c r="AK18" s="166"/>
    </row>
    <row r="19" spans="2:37" ht="21.75" thickBot="1" x14ac:dyDescent="0.4">
      <c r="B19" s="21"/>
      <c r="C19" s="21"/>
      <c r="D19" s="21"/>
      <c r="AA19" s="165"/>
      <c r="AB19" s="315"/>
      <c r="AC19" s="316"/>
      <c r="AD19" s="275">
        <f>(1-(AD18/100))*AE27</f>
        <v>3.15</v>
      </c>
      <c r="AE19" s="276"/>
      <c r="AF19" s="46"/>
      <c r="AG19" s="291" t="s">
        <v>81</v>
      </c>
      <c r="AH19" s="292"/>
      <c r="AI19" s="292"/>
      <c r="AJ19" s="293"/>
      <c r="AK19" s="166"/>
    </row>
    <row r="20" spans="2:37" ht="21.75" thickBot="1" x14ac:dyDescent="0.4">
      <c r="B20" s="21"/>
      <c r="C20" s="21"/>
      <c r="D20" s="21"/>
      <c r="AA20" s="165"/>
      <c r="AB20" s="54"/>
      <c r="AC20" s="54"/>
      <c r="AD20" s="54"/>
      <c r="AE20" s="54"/>
      <c r="AF20" s="46"/>
      <c r="AG20" s="208">
        <v>5</v>
      </c>
      <c r="AH20" s="171" t="s">
        <v>80</v>
      </c>
      <c r="AI20" s="209">
        <v>10</v>
      </c>
      <c r="AJ20" s="173" t="s">
        <v>80</v>
      </c>
      <c r="AK20" s="166"/>
    </row>
    <row r="21" spans="2:37" ht="21" x14ac:dyDescent="0.35">
      <c r="B21" s="21"/>
      <c r="C21" s="21"/>
      <c r="D21" s="21"/>
      <c r="AA21" s="165"/>
      <c r="AB21" s="162" t="s">
        <v>82</v>
      </c>
      <c r="AC21" s="153"/>
      <c r="AD21" s="294">
        <v>2000</v>
      </c>
      <c r="AE21" s="295"/>
      <c r="AF21" s="46"/>
      <c r="AG21" s="54"/>
      <c r="AH21" s="54"/>
      <c r="AI21" s="54"/>
      <c r="AJ21" s="54"/>
      <c r="AK21" s="166"/>
    </row>
    <row r="22" spans="2:37" ht="21.75" thickBot="1" x14ac:dyDescent="0.4">
      <c r="B22" s="21"/>
      <c r="C22" s="21"/>
      <c r="D22" s="21"/>
      <c r="AA22" s="165"/>
      <c r="AB22" s="163" t="s">
        <v>83</v>
      </c>
      <c r="AC22" s="154"/>
      <c r="AD22" s="272">
        <v>2000</v>
      </c>
      <c r="AE22" s="273"/>
      <c r="AF22" s="46"/>
      <c r="AG22" s="46"/>
      <c r="AH22" s="46"/>
      <c r="AI22" s="46"/>
      <c r="AJ22" s="46"/>
      <c r="AK22" s="166"/>
    </row>
    <row r="23" spans="2:37" ht="21.75" thickBot="1" x14ac:dyDescent="0.4">
      <c r="B23" s="21"/>
      <c r="C23" s="21"/>
      <c r="D23" s="21"/>
      <c r="AA23" s="165"/>
      <c r="AB23" s="164" t="s">
        <v>84</v>
      </c>
      <c r="AC23" s="155"/>
      <c r="AD23" s="277">
        <v>3000</v>
      </c>
      <c r="AE23" s="278"/>
      <c r="AF23" s="46"/>
      <c r="AG23" s="310" t="s">
        <v>85</v>
      </c>
      <c r="AH23" s="311"/>
      <c r="AI23" s="311"/>
      <c r="AJ23" s="312"/>
      <c r="AK23" s="166"/>
    </row>
    <row r="24" spans="2:37" ht="22.5" thickTop="1" thickBot="1" x14ac:dyDescent="0.4">
      <c r="B24" s="21"/>
      <c r="C24" s="21"/>
      <c r="D24" s="21"/>
      <c r="AA24" s="165"/>
      <c r="AB24" s="54"/>
      <c r="AC24" s="54"/>
      <c r="AD24" s="54"/>
      <c r="AE24" s="54"/>
      <c r="AF24" s="46"/>
      <c r="AG24" s="297" t="s">
        <v>78</v>
      </c>
      <c r="AH24" s="317"/>
      <c r="AI24" s="299"/>
      <c r="AJ24" s="300"/>
      <c r="AK24" s="166"/>
    </row>
    <row r="25" spans="2:37" ht="21.75" thickBot="1" x14ac:dyDescent="0.4">
      <c r="B25" s="21"/>
      <c r="C25" s="21"/>
      <c r="D25" s="21"/>
      <c r="AA25" s="165"/>
      <c r="AB25" s="288" t="s">
        <v>86</v>
      </c>
      <c r="AC25" s="289"/>
      <c r="AD25" s="290"/>
      <c r="AE25" s="204">
        <v>0.05</v>
      </c>
      <c r="AF25" s="46"/>
      <c r="AG25" s="296" t="s">
        <v>72</v>
      </c>
      <c r="AH25" s="296"/>
      <c r="AI25" s="296"/>
      <c r="AJ25" s="296"/>
      <c r="AK25" s="166"/>
    </row>
    <row r="26" spans="2:37" ht="21" x14ac:dyDescent="0.35">
      <c r="B26" s="21"/>
      <c r="C26" s="21"/>
      <c r="D26" s="21"/>
      <c r="AA26" s="165"/>
      <c r="AB26" s="214" t="s">
        <v>87</v>
      </c>
      <c r="AC26" s="215"/>
      <c r="AD26" s="216"/>
      <c r="AE26" s="205">
        <v>0.11</v>
      </c>
      <c r="AF26" s="46"/>
      <c r="AG26" s="291" t="s">
        <v>81</v>
      </c>
      <c r="AH26" s="292"/>
      <c r="AI26" s="292"/>
      <c r="AJ26" s="293"/>
      <c r="AK26" s="166"/>
    </row>
    <row r="27" spans="2:37" ht="21.75" thickBot="1" x14ac:dyDescent="0.4">
      <c r="B27" s="21"/>
      <c r="C27" s="21"/>
      <c r="D27" s="21"/>
      <c r="U27" s="274"/>
      <c r="V27" s="274"/>
      <c r="AA27" s="165"/>
      <c r="AB27" s="260" t="s">
        <v>88</v>
      </c>
      <c r="AC27" s="261"/>
      <c r="AD27" s="262"/>
      <c r="AE27" s="206">
        <v>3.5</v>
      </c>
      <c r="AF27" s="46"/>
      <c r="AG27" s="208">
        <v>10</v>
      </c>
      <c r="AH27" s="171" t="s">
        <v>80</v>
      </c>
      <c r="AI27" s="209">
        <v>15</v>
      </c>
      <c r="AJ27" s="172" t="s">
        <v>80</v>
      </c>
      <c r="AK27" s="166"/>
    </row>
    <row r="28" spans="2:37" ht="21.75" thickBot="1" x14ac:dyDescent="0.4">
      <c r="B28" s="21"/>
      <c r="C28" s="21"/>
      <c r="D28" s="21"/>
      <c r="AA28" s="167"/>
      <c r="AB28" s="168"/>
      <c r="AC28" s="168"/>
      <c r="AD28" s="168"/>
      <c r="AE28" s="168"/>
      <c r="AF28" s="168"/>
      <c r="AG28" s="168"/>
      <c r="AH28" s="168"/>
      <c r="AI28" s="168"/>
      <c r="AJ28" s="170"/>
      <c r="AK28" s="169"/>
    </row>
    <row r="29" spans="2:37" ht="47.25" thickBot="1" x14ac:dyDescent="0.75">
      <c r="B29" s="22"/>
      <c r="C29" s="255" t="s">
        <v>3</v>
      </c>
      <c r="D29" s="256"/>
      <c r="E29" s="256"/>
      <c r="F29" s="256"/>
      <c r="G29" s="256"/>
      <c r="H29" s="256"/>
      <c r="I29" s="15"/>
      <c r="J29" s="257" t="s">
        <v>5</v>
      </c>
      <c r="K29" s="257"/>
      <c r="L29" s="257"/>
      <c r="M29" s="257"/>
      <c r="N29" s="257"/>
      <c r="O29" s="257"/>
      <c r="P29" s="15"/>
      <c r="Q29" s="251" t="s">
        <v>6</v>
      </c>
      <c r="R29" s="251"/>
      <c r="S29" s="251"/>
      <c r="T29" s="251"/>
      <c r="U29" s="251"/>
      <c r="V29" s="252"/>
    </row>
    <row r="30" spans="2:37" ht="15.75" x14ac:dyDescent="0.25">
      <c r="C30" s="27"/>
      <c r="D30" s="28"/>
      <c r="E30" s="28"/>
      <c r="F30" s="28"/>
      <c r="G30" s="28"/>
      <c r="H30" s="29"/>
      <c r="J30" s="30"/>
      <c r="K30" s="28"/>
      <c r="L30" s="28"/>
      <c r="M30" s="28"/>
      <c r="N30" s="28"/>
      <c r="O30" s="31"/>
      <c r="Q30" s="30"/>
      <c r="R30" s="28"/>
      <c r="S30" s="28"/>
      <c r="T30" s="28"/>
      <c r="U30" s="28"/>
      <c r="V30" s="29"/>
    </row>
    <row r="31" spans="2:37" ht="172.9" customHeight="1" x14ac:dyDescent="0.25">
      <c r="C31" s="27"/>
      <c r="D31" s="259"/>
      <c r="E31" s="259"/>
      <c r="F31" s="259"/>
      <c r="G31" s="259"/>
      <c r="H31" s="29"/>
      <c r="J31" s="30"/>
      <c r="K31" s="259"/>
      <c r="L31" s="259"/>
      <c r="M31" s="259"/>
      <c r="N31" s="259"/>
      <c r="O31" s="31"/>
      <c r="Q31" s="30"/>
      <c r="R31" s="259"/>
      <c r="S31" s="259"/>
      <c r="T31" s="259"/>
      <c r="U31" s="259"/>
      <c r="V31" s="29"/>
    </row>
    <row r="32" spans="2:37" ht="15.75" x14ac:dyDescent="0.25">
      <c r="C32" s="27"/>
      <c r="D32" s="28"/>
      <c r="E32" s="28"/>
      <c r="F32" s="28"/>
      <c r="G32" s="28"/>
      <c r="H32" s="29"/>
      <c r="J32" s="30"/>
      <c r="K32" s="28"/>
      <c r="L32" s="28"/>
      <c r="M32" s="28"/>
      <c r="N32" s="28"/>
      <c r="O32" s="31"/>
      <c r="Q32" s="30"/>
      <c r="R32" s="28"/>
      <c r="S32" s="28"/>
      <c r="T32" s="28"/>
      <c r="U32" s="28"/>
      <c r="V32" s="29"/>
    </row>
    <row r="33" spans="2:22" ht="42.75" thickBot="1" x14ac:dyDescent="0.4">
      <c r="C33" s="27"/>
      <c r="D33" s="28"/>
      <c r="E33" s="32" t="s">
        <v>34</v>
      </c>
      <c r="F33" s="33" t="s">
        <v>39</v>
      </c>
      <c r="G33" s="33" t="s">
        <v>41</v>
      </c>
      <c r="H33" s="34"/>
      <c r="I33" s="24"/>
      <c r="J33" s="35"/>
      <c r="K33" s="36"/>
      <c r="L33" s="32" t="s">
        <v>34</v>
      </c>
      <c r="M33" s="33" t="s">
        <v>55</v>
      </c>
      <c r="N33" s="32" t="s">
        <v>41</v>
      </c>
      <c r="O33" s="37"/>
      <c r="P33" s="19"/>
      <c r="Q33" s="35"/>
      <c r="R33" s="36"/>
      <c r="S33" s="38" t="s">
        <v>34</v>
      </c>
      <c r="T33" s="38" t="s">
        <v>89</v>
      </c>
      <c r="U33" s="32" t="s">
        <v>41</v>
      </c>
      <c r="V33" s="31"/>
    </row>
    <row r="34" spans="2:22" s="178" customFormat="1" ht="24" thickTop="1" x14ac:dyDescent="0.35">
      <c r="C34" s="179"/>
      <c r="D34" s="180" t="s">
        <v>90</v>
      </c>
      <c r="E34" s="185">
        <f>AVERAGE(Simulations!E10:E1009)</f>
        <v>48900.183200000218</v>
      </c>
      <c r="F34" s="181">
        <f>AVERAGE(Simulations!F10:F1009)</f>
        <v>7110.2569999999996</v>
      </c>
      <c r="G34" s="181">
        <f>AVERAGE(Simulations!G10:G1009)</f>
        <v>88205.623000000007</v>
      </c>
      <c r="H34" s="182"/>
      <c r="I34" s="183"/>
      <c r="J34" s="179"/>
      <c r="K34" s="180" t="s">
        <v>90</v>
      </c>
      <c r="L34" s="185">
        <f>AVERAGE(Simulations!O$10:O$1009)</f>
        <v>53632.951794999994</v>
      </c>
      <c r="M34" s="181">
        <f>AVERAGE(Simulations!P$10:P$1009)</f>
        <v>11852.558000000001</v>
      </c>
      <c r="N34" s="181">
        <f>AVERAGE(Simulations!Q$10:Q$1009)</f>
        <v>83426.547000000006</v>
      </c>
      <c r="O34" s="184"/>
      <c r="Q34" s="179"/>
      <c r="R34" s="180" t="s">
        <v>90</v>
      </c>
      <c r="S34" s="185">
        <f>AVERAGE(Simulations!Z$10:Z$1009)</f>
        <v>51391.953849999998</v>
      </c>
      <c r="T34" s="181">
        <f>SUM(AVERAGE(Simulations!AA$10:AA$1009),AVERAGE(Simulations!$AB$10:$AB$1009))</f>
        <v>18292.44432000001</v>
      </c>
      <c r="U34" s="181">
        <f>AVERAGE(Simulations!AC$10:AC$1009)</f>
        <v>77419.956680000018</v>
      </c>
      <c r="V34" s="184"/>
    </row>
    <row r="35" spans="2:22" ht="21" x14ac:dyDescent="0.35">
      <c r="C35" s="27"/>
      <c r="D35" s="39" t="s">
        <v>91</v>
      </c>
      <c r="E35" s="40">
        <f>_xlfn.STDEV.P(Simulations!E$10:E$1009)</f>
        <v>16010.645768876173</v>
      </c>
      <c r="F35" s="41">
        <f>_xlfn.STDEV.P(Simulations!F$10:F$1009)</f>
        <v>1692.3517468159507</v>
      </c>
      <c r="G35" s="41">
        <f>_xlfn.STDEV.P(Simulations!G$10:G$1009)</f>
        <v>4642.8553153066268</v>
      </c>
      <c r="H35" s="42"/>
      <c r="I35" s="26"/>
      <c r="J35" s="43"/>
      <c r="K35" s="39" t="s">
        <v>91</v>
      </c>
      <c r="L35" s="40">
        <f>_xlfn.STDEV.P(Simulations!O$10:O$1009)</f>
        <v>15505.455642153296</v>
      </c>
      <c r="M35" s="41">
        <f>_xlfn.STDEV.P(Simulations!P$10:P$1009)</f>
        <v>1744.3238388086083</v>
      </c>
      <c r="N35" s="41">
        <f>_xlfn.STDEV.P(Simulations!Q$10:Q$1009)</f>
        <v>4235.2906351029833</v>
      </c>
      <c r="O35" s="44"/>
      <c r="P35" s="25"/>
      <c r="Q35" s="43"/>
      <c r="R35" s="39" t="s">
        <v>91</v>
      </c>
      <c r="S35" s="45">
        <f>_xlfn.STDEV.P(Simulations!Z$10:Z$1009)</f>
        <v>16604.472273112777</v>
      </c>
      <c r="T35" s="41">
        <f>_xlfn.STDEV.P(Simulations!$AA$10:$AA$1009)+_xlfn.STDEV.P(Simulations!$AB$10:$AB$1009)</f>
        <v>3198.6554635362136</v>
      </c>
      <c r="U35" s="41">
        <f>_xlfn.STDEV.P(Simulations!AC$10:AC$1009)</f>
        <v>4535.8431903583214</v>
      </c>
      <c r="V35" s="31"/>
    </row>
    <row r="36" spans="2:22" ht="18.75" x14ac:dyDescent="0.3">
      <c r="C36" s="27"/>
      <c r="D36" s="46"/>
      <c r="E36" s="47"/>
      <c r="F36" s="48"/>
      <c r="G36" s="48"/>
      <c r="H36" s="44"/>
      <c r="I36" s="25"/>
      <c r="J36" s="43"/>
      <c r="K36" s="46"/>
      <c r="L36" s="47"/>
      <c r="M36" s="48"/>
      <c r="N36" s="48"/>
      <c r="O36" s="44"/>
      <c r="P36" s="25"/>
      <c r="Q36" s="43"/>
      <c r="R36" s="49"/>
      <c r="S36" s="49"/>
      <c r="T36" s="50"/>
      <c r="U36" s="50"/>
      <c r="V36" s="31"/>
    </row>
    <row r="37" spans="2:22" ht="21" x14ac:dyDescent="0.35">
      <c r="C37" s="27"/>
      <c r="D37" s="320" t="s">
        <v>92</v>
      </c>
      <c r="E37" s="320"/>
      <c r="F37" s="51"/>
      <c r="G37" s="51"/>
      <c r="H37" s="44"/>
      <c r="I37" s="25"/>
      <c r="J37" s="43"/>
      <c r="K37" s="320" t="s">
        <v>92</v>
      </c>
      <c r="L37" s="320"/>
      <c r="M37" s="51"/>
      <c r="N37" s="51"/>
      <c r="O37" s="44"/>
      <c r="P37" s="25"/>
      <c r="Q37" s="43"/>
      <c r="R37" s="320" t="s">
        <v>92</v>
      </c>
      <c r="S37" s="320"/>
      <c r="T37" s="52"/>
      <c r="U37" s="50"/>
      <c r="V37" s="31"/>
    </row>
    <row r="38" spans="2:22" ht="21" x14ac:dyDescent="0.35">
      <c r="C38" s="27"/>
      <c r="D38" s="53">
        <v>0.05</v>
      </c>
      <c r="E38" s="40">
        <f>_xlfn.PERCENTILE.INC(Simulations!E$10:E$1009,$D38)</f>
        <v>30635.27</v>
      </c>
      <c r="F38" s="41">
        <f>_xlfn.PERCENTILE.INC(Simulations!F$10:F$1009,$D38)</f>
        <v>4613.75</v>
      </c>
      <c r="G38" s="41">
        <f>_xlfn.PERCENTILE.INC(Simulations!G$10:G$1009,$D38)</f>
        <v>81790.600000000006</v>
      </c>
      <c r="H38" s="42"/>
      <c r="I38" s="26"/>
      <c r="J38" s="43"/>
      <c r="K38" s="53">
        <v>0.05</v>
      </c>
      <c r="L38" s="40">
        <f>_xlfn.PERCENTILE.INC(Simulations!O$10:O$1009,$K38)</f>
        <v>35110.685749999982</v>
      </c>
      <c r="M38" s="41">
        <f>_xlfn.PERCENTILE.INC(Simulations!P$10:P$1009,$K38)</f>
        <v>9299.85</v>
      </c>
      <c r="N38" s="41">
        <f>_xlfn.PERCENTILE.INC(Simulations!Q$10:Q$1009,$K38)</f>
        <v>77234.7</v>
      </c>
      <c r="O38" s="44"/>
      <c r="P38" s="25"/>
      <c r="Q38" s="43"/>
      <c r="R38" s="53">
        <v>0.05</v>
      </c>
      <c r="S38" s="45">
        <f>_xlfn.PERCENTILE.INC(Simulations!Z$10:Z$1009,$R38)</f>
        <v>31229.620000000024</v>
      </c>
      <c r="T38" s="41">
        <f>_xlfn.PERCENTILE.INC(Simulations!AA$10:AA$1009,$R38)+_xlfn.PERCENTILE.INC(Simulations!$AB$10:$AB$1009,$R38)</f>
        <v>13366.907499999999</v>
      </c>
      <c r="U38" s="41">
        <f>_xlfn.PERCENTILE.INC(Simulations!AC$10:AC$1009,$R38)</f>
        <v>71076.011999999988</v>
      </c>
      <c r="V38" s="31"/>
    </row>
    <row r="39" spans="2:22" ht="21" x14ac:dyDescent="0.35">
      <c r="C39" s="27"/>
      <c r="D39" s="53">
        <v>0.95</v>
      </c>
      <c r="E39" s="40">
        <f>_xlfn.PERCENTILE.INC(Simulations!E$10:E$1009,$D39)</f>
        <v>86065.16</v>
      </c>
      <c r="F39" s="41">
        <f>_xlfn.PERCENTILE.INC(Simulations!F$10:F$1009,$D39)</f>
        <v>9775.1</v>
      </c>
      <c r="G39" s="41">
        <f>_xlfn.PERCENTILE.INC(Simulations!G$10:G$1009,$D39)</f>
        <v>97882.95</v>
      </c>
      <c r="H39" s="42"/>
      <c r="I39" s="26"/>
      <c r="J39" s="43"/>
      <c r="K39" s="53">
        <v>0.95</v>
      </c>
      <c r="L39" s="40">
        <f>_xlfn.PERCENTILE.INC(Simulations!O$10:O$1009,$K39)</f>
        <v>91437.999749999988</v>
      </c>
      <c r="M39" s="41">
        <f>_xlfn.PERCENTILE.INC(Simulations!P$10:P$1009,$K39)</f>
        <v>14746.1</v>
      </c>
      <c r="N39" s="41">
        <f>_xlfn.PERCENTILE.INC(Simulations!Q$10:Q$1009,$K39)</f>
        <v>92432.1</v>
      </c>
      <c r="O39" s="44"/>
      <c r="P39" s="25"/>
      <c r="Q39" s="43"/>
      <c r="R39" s="53">
        <v>0.95</v>
      </c>
      <c r="S39" s="45">
        <f>_xlfn.PERCENTILE.INC(Simulations!Z$10:Z$1009,$R39)</f>
        <v>87635.680000000008</v>
      </c>
      <c r="T39" s="41">
        <f>_xlfn.PERCENTILE.INC(Simulations!AA$10:AA$1009,$R39)+_xlfn.PERCENTILE.INC(Simulations!$AB$10:$AB$1009,$R39)</f>
        <v>23288.379999999997</v>
      </c>
      <c r="U39" s="41">
        <f>_xlfn.PERCENTILE.INC(Simulations!AC$10:AC$1009,$R39)</f>
        <v>86808.568499999994</v>
      </c>
      <c r="V39" s="31"/>
    </row>
    <row r="40" spans="2:22" ht="15.75" x14ac:dyDescent="0.25">
      <c r="C40" s="27"/>
      <c r="D40" s="28"/>
      <c r="E40" s="28"/>
      <c r="F40" s="28"/>
      <c r="G40" s="28"/>
      <c r="H40" s="29"/>
      <c r="J40" s="30"/>
      <c r="K40" s="28"/>
      <c r="L40" s="28"/>
      <c r="M40" s="28"/>
      <c r="N40" s="28"/>
      <c r="O40" s="31"/>
      <c r="Q40" s="30"/>
      <c r="R40" s="28"/>
      <c r="S40" s="28"/>
      <c r="T40" s="28"/>
      <c r="U40" s="28"/>
      <c r="V40" s="31"/>
    </row>
    <row r="41" spans="2:22" s="19" customFormat="1" ht="21" x14ac:dyDescent="0.35">
      <c r="C41" s="35"/>
      <c r="D41" s="55" t="s">
        <v>93</v>
      </c>
      <c r="E41" s="56">
        <f>COUNTIF(Simulations!E10:E1009,"&lt;0")/1000</f>
        <v>0</v>
      </c>
      <c r="F41" s="57" t="s">
        <v>94</v>
      </c>
      <c r="G41" s="56">
        <f>COUNTIF(Simulations!G10:G1009,"&lt;"&amp;'Compostable Cup Scenario'!L7)/1000</f>
        <v>4.3999999999999997E-2</v>
      </c>
      <c r="H41" s="37"/>
      <c r="J41" s="35"/>
      <c r="K41" s="55" t="s">
        <v>93</v>
      </c>
      <c r="L41" s="56">
        <f>COUNTIF(Simulations!O10:O1009,"&lt;0")/1000</f>
        <v>0</v>
      </c>
      <c r="M41" s="55" t="s">
        <v>94</v>
      </c>
      <c r="N41" s="56">
        <f>COUNTIF(Simulations!Q10:Q1009,"&lt;"&amp;'Reusable Mug Scenario'!$L$7)/1000</f>
        <v>0.39</v>
      </c>
      <c r="O41" s="37"/>
      <c r="Q41" s="35"/>
      <c r="R41" s="55" t="s">
        <v>93</v>
      </c>
      <c r="S41" s="56">
        <f>COUNTIF(Simulations!$Z$10:$Z$1009,"&lt;0")/1000</f>
        <v>0</v>
      </c>
      <c r="T41" s="55" t="s">
        <v>94</v>
      </c>
      <c r="U41" s="56">
        <f>COUNTIF(Simulations!$AC$10:$AC$1009,"&lt;"&amp;'Combined Scenario'!$L$7)/1000</f>
        <v>0.83699999999999997</v>
      </c>
      <c r="V41" s="37"/>
    </row>
    <row r="42" spans="2:22" ht="16.5" thickBot="1" x14ac:dyDescent="0.3">
      <c r="C42" s="58"/>
      <c r="D42" s="59"/>
      <c r="E42" s="59"/>
      <c r="F42" s="59"/>
      <c r="G42" s="59"/>
      <c r="H42" s="60"/>
      <c r="J42" s="61"/>
      <c r="K42" s="62"/>
      <c r="L42" s="62"/>
      <c r="M42" s="62"/>
      <c r="N42" s="62"/>
      <c r="O42" s="63"/>
      <c r="Q42" s="61"/>
      <c r="R42" s="62"/>
      <c r="S42" s="62"/>
      <c r="T42" s="62"/>
      <c r="U42" s="62"/>
      <c r="V42" s="63"/>
    </row>
    <row r="43" spans="2:22" ht="16.5" thickBot="1" x14ac:dyDescent="0.3">
      <c r="C43" s="23"/>
      <c r="D43" s="23"/>
      <c r="E43" s="23"/>
      <c r="F43" s="23"/>
      <c r="G43" s="23"/>
      <c r="H43" s="23"/>
    </row>
    <row r="44" spans="2:22" ht="27" customHeight="1" thickBot="1" x14ac:dyDescent="0.3">
      <c r="B44" s="253"/>
      <c r="C44" s="254"/>
      <c r="D44" s="254"/>
      <c r="E44" s="11"/>
      <c r="F44" s="11"/>
      <c r="G44" s="11"/>
      <c r="H44" s="11"/>
      <c r="I44" s="14"/>
      <c r="J44" s="12"/>
      <c r="K44" s="250"/>
      <c r="L44" s="250"/>
      <c r="M44" s="250"/>
      <c r="N44" s="250"/>
      <c r="O44" s="12"/>
      <c r="P44" s="14"/>
      <c r="Q44" s="13"/>
      <c r="R44" s="13"/>
      <c r="S44" s="13"/>
      <c r="T44" s="13"/>
      <c r="U44" s="318"/>
      <c r="V44" s="319"/>
    </row>
    <row r="74" spans="2:22" ht="15.75" thickBot="1" x14ac:dyDescent="0.3"/>
    <row r="75" spans="2:22" ht="27" customHeight="1" thickBot="1" x14ac:dyDescent="0.3">
      <c r="B75" s="253"/>
      <c r="C75" s="254"/>
      <c r="D75" s="254"/>
      <c r="E75" s="10"/>
      <c r="F75" s="10"/>
      <c r="G75" s="10"/>
      <c r="H75" s="10"/>
      <c r="I75" s="14"/>
      <c r="J75" s="12"/>
      <c r="K75" s="250"/>
      <c r="L75" s="250"/>
      <c r="M75" s="250"/>
      <c r="N75" s="250"/>
      <c r="O75" s="12"/>
      <c r="P75" s="14"/>
      <c r="Q75" s="93"/>
      <c r="R75" s="94"/>
      <c r="S75" s="94"/>
      <c r="T75" s="94"/>
      <c r="U75" s="318"/>
      <c r="V75" s="319"/>
    </row>
    <row r="87" spans="5:20" x14ac:dyDescent="0.25">
      <c r="E87" s="17" t="s">
        <v>95</v>
      </c>
      <c r="F87" s="17" t="s">
        <v>96</v>
      </c>
      <c r="G87" s="3">
        <f>IF('Control Sheet'!$K$4, INDEX(Metrics!$D$10:$R$28, MATCH(2018, Metrics!$D$10:$D$28, 0), MATCH("Sales Revenue"&amp;'Control Sheet'!$K$9, Metrics!$D$10:$R$10, 0)), Dashboard!AE$11)</f>
        <v>275533.75</v>
      </c>
      <c r="R87" s="17" t="s">
        <v>97</v>
      </c>
      <c r="S87" s="17" t="s">
        <v>96</v>
      </c>
      <c r="T87" s="3">
        <f>'Compostable Cup Scenario'!E11</f>
        <v>3313.1000000000004</v>
      </c>
    </row>
    <row r="88" spans="5:20" x14ac:dyDescent="0.25">
      <c r="E88" s="64" t="str">
        <f>AE13&amp;" Simulated Revenue"</f>
        <v>2019 Simulated Revenue</v>
      </c>
      <c r="F88" s="17" t="s">
        <v>98</v>
      </c>
      <c r="G88" s="3">
        <f>'Compostable Cup Scenario'!L7*'Compostable Cup Scenario'!O10</f>
        <v>286136.10802522971</v>
      </c>
      <c r="R88" s="321" t="str">
        <f>AE13&amp;" Simulated Costs"</f>
        <v>2019 Simulated Costs</v>
      </c>
      <c r="S88" s="17" t="s">
        <v>98</v>
      </c>
      <c r="T88" s="3">
        <f>'Compostable Cup Scenario'!E10*'Compostable Cup Scenario'!L7</f>
        <v>4087.6586860747102</v>
      </c>
    </row>
    <row r="89" spans="5:20" x14ac:dyDescent="0.25">
      <c r="E89" s="64"/>
      <c r="F89" s="17" t="s">
        <v>99</v>
      </c>
      <c r="G89" s="3">
        <f>AVERAGE(Simulations!H10:H1009)</f>
        <v>333605.58</v>
      </c>
      <c r="R89" s="321"/>
      <c r="S89" s="17" t="s">
        <v>99</v>
      </c>
      <c r="T89" s="3">
        <f>AVERAGE(Simulations!I10:I1009)</f>
        <v>12484.746799999932</v>
      </c>
    </row>
    <row r="90" spans="5:20" x14ac:dyDescent="0.25">
      <c r="E90" s="64"/>
      <c r="F90" s="17" t="s">
        <v>100</v>
      </c>
      <c r="G90" s="3">
        <f>AVERAGE(Simulations!R10:R1009)</f>
        <v>332024.92914499983</v>
      </c>
      <c r="R90" s="321"/>
      <c r="S90" s="17" t="s">
        <v>100</v>
      </c>
      <c r="T90" s="3">
        <f>AVERAGE(Simulations!S10:S1009)</f>
        <v>6171.327350000005</v>
      </c>
    </row>
    <row r="91" spans="5:20" x14ac:dyDescent="0.25">
      <c r="E91" s="64"/>
      <c r="F91" s="17" t="s">
        <v>101</v>
      </c>
      <c r="G91" s="3">
        <f>AVERAGE(Simulations!AD10:AD1009)</f>
        <v>330799.02730000042</v>
      </c>
      <c r="R91" s="321"/>
      <c r="S91" s="17" t="s">
        <v>101</v>
      </c>
      <c r="T91" s="3">
        <f>AVERAGE(Simulations!AE10:AE1009)</f>
        <v>7186.4234499999966</v>
      </c>
    </row>
    <row r="107" spans="2:22" ht="15.75" thickBot="1" x14ac:dyDescent="0.3"/>
    <row r="108" spans="2:22" ht="27" customHeight="1" thickBot="1" x14ac:dyDescent="0.3">
      <c r="B108" s="253"/>
      <c r="C108" s="254"/>
      <c r="D108" s="254"/>
      <c r="E108" s="10"/>
      <c r="F108" s="10"/>
      <c r="G108" s="10"/>
      <c r="H108" s="10"/>
      <c r="I108" s="14"/>
      <c r="J108" s="12"/>
      <c r="K108" s="250"/>
      <c r="L108" s="250"/>
      <c r="M108" s="250"/>
      <c r="N108" s="250"/>
      <c r="O108" s="12"/>
      <c r="P108" s="14"/>
      <c r="Q108" s="93"/>
      <c r="R108" s="94"/>
      <c r="S108" s="94"/>
      <c r="T108" s="94"/>
      <c r="U108" s="318"/>
      <c r="V108" s="319"/>
    </row>
    <row r="132" spans="4:21" ht="15.75" thickBot="1" x14ac:dyDescent="0.3"/>
    <row r="133" spans="4:21" ht="54" customHeight="1" thickBot="1" x14ac:dyDescent="0.75">
      <c r="D133" s="322" t="s">
        <v>102</v>
      </c>
      <c r="E133" s="323"/>
      <c r="F133" s="217">
        <f>(F34*18)/453.592</f>
        <v>282.15803188768763</v>
      </c>
      <c r="G133" s="220">
        <f>F133</f>
        <v>282.15803188768763</v>
      </c>
      <c r="K133" s="324" t="s">
        <v>102</v>
      </c>
      <c r="L133" s="325"/>
      <c r="M133" s="217">
        <f>(M34*18)/453.592</f>
        <v>470.34789855200273</v>
      </c>
      <c r="N133" s="219">
        <f>M133</f>
        <v>470.34789855200273</v>
      </c>
      <c r="R133" s="326" t="s">
        <v>102</v>
      </c>
      <c r="S133" s="327"/>
      <c r="T133" s="217">
        <f>(T34*18)/453.592</f>
        <v>725.90345014903301</v>
      </c>
      <c r="U133" s="218">
        <f>T133</f>
        <v>725.90345014903301</v>
      </c>
    </row>
    <row r="147" spans="2:22" ht="15.75" thickBot="1" x14ac:dyDescent="0.3"/>
    <row r="148" spans="2:22" ht="27" customHeight="1" thickBot="1" x14ac:dyDescent="0.3">
      <c r="B148" s="253"/>
      <c r="C148" s="254"/>
      <c r="D148" s="254"/>
      <c r="E148" s="11"/>
      <c r="F148" s="11"/>
      <c r="G148" s="11"/>
      <c r="H148" s="11"/>
      <c r="I148" s="101"/>
      <c r="J148" s="102"/>
      <c r="K148" s="102"/>
      <c r="L148" s="102"/>
      <c r="M148" s="102"/>
      <c r="N148" s="102"/>
      <c r="O148" s="102"/>
      <c r="P148" s="101"/>
      <c r="Q148" s="103"/>
      <c r="R148" s="103"/>
      <c r="S148" s="103"/>
      <c r="T148" s="103"/>
      <c r="U148" s="318"/>
      <c r="V148" s="319"/>
    </row>
  </sheetData>
  <sheetProtection sheet="1" objects="1" scenarios="1"/>
  <mergeCells count="59">
    <mergeCell ref="U108:V108"/>
    <mergeCell ref="U148:V148"/>
    <mergeCell ref="U44:V44"/>
    <mergeCell ref="K108:N108"/>
    <mergeCell ref="D37:E37"/>
    <mergeCell ref="K37:L37"/>
    <mergeCell ref="B75:D75"/>
    <mergeCell ref="K75:N75"/>
    <mergeCell ref="R88:R91"/>
    <mergeCell ref="U75:V75"/>
    <mergeCell ref="B108:D108"/>
    <mergeCell ref="B148:D148"/>
    <mergeCell ref="R37:S37"/>
    <mergeCell ref="D133:E133"/>
    <mergeCell ref="K133:L133"/>
    <mergeCell ref="R133:S133"/>
    <mergeCell ref="AG26:AJ26"/>
    <mergeCell ref="AG23:AJ23"/>
    <mergeCell ref="AI24:AJ24"/>
    <mergeCell ref="AG25:AJ25"/>
    <mergeCell ref="AG24:AH24"/>
    <mergeCell ref="AA5:AC5"/>
    <mergeCell ref="AA8:AK8"/>
    <mergeCell ref="AB13:AD13"/>
    <mergeCell ref="AB11:AD11"/>
    <mergeCell ref="AB25:AD25"/>
    <mergeCell ref="AG19:AJ19"/>
    <mergeCell ref="AD21:AE21"/>
    <mergeCell ref="AG18:AJ18"/>
    <mergeCell ref="AG17:AH17"/>
    <mergeCell ref="AI17:AJ17"/>
    <mergeCell ref="AG10:AI11"/>
    <mergeCell ref="AJ10:AJ11"/>
    <mergeCell ref="AG12:AJ12"/>
    <mergeCell ref="AG13:AI13"/>
    <mergeCell ref="AG16:AJ16"/>
    <mergeCell ref="AB18:AC19"/>
    <mergeCell ref="AB27:AD27"/>
    <mergeCell ref="B7:D7"/>
    <mergeCell ref="B12:D12"/>
    <mergeCell ref="AB10:AD10"/>
    <mergeCell ref="B11:D11"/>
    <mergeCell ref="B10:D10"/>
    <mergeCell ref="B9:E9"/>
    <mergeCell ref="AB15:AC16"/>
    <mergeCell ref="AD22:AE22"/>
    <mergeCell ref="U27:V27"/>
    <mergeCell ref="AD19:AE19"/>
    <mergeCell ref="AD23:AE23"/>
    <mergeCell ref="B2:M2"/>
    <mergeCell ref="K44:N44"/>
    <mergeCell ref="Q29:V29"/>
    <mergeCell ref="B44:D44"/>
    <mergeCell ref="C29:H29"/>
    <mergeCell ref="J29:O29"/>
    <mergeCell ref="B4:D4"/>
    <mergeCell ref="D31:G31"/>
    <mergeCell ref="K31:N31"/>
    <mergeCell ref="R31:U31"/>
  </mergeCells>
  <conditionalFormatting sqref="L34 E34 S34">
    <cfRule type="colorScale" priority="13">
      <colorScale>
        <cfvo type="min"/>
        <cfvo type="percentile" val="50"/>
        <cfvo type="max"/>
        <color rgb="FFF8696B"/>
        <color rgb="FFFFEB84"/>
        <color rgb="FF63BE7B"/>
      </colorScale>
    </cfRule>
  </conditionalFormatting>
  <conditionalFormatting sqref="M34 F34 T34">
    <cfRule type="colorScale" priority="12">
      <colorScale>
        <cfvo type="min"/>
        <cfvo type="percentile" val="50"/>
        <cfvo type="max"/>
        <color rgb="FFF8696B"/>
        <color rgb="FFFFEB84"/>
        <color rgb="FF63BE7B"/>
      </colorScale>
    </cfRule>
  </conditionalFormatting>
  <conditionalFormatting sqref="N34 G34 U34">
    <cfRule type="colorScale" priority="11">
      <colorScale>
        <cfvo type="min"/>
        <cfvo type="percentile" val="50"/>
        <cfvo type="max"/>
        <color rgb="FF63BE7B"/>
        <color rgb="FFFFEB84"/>
        <color rgb="FFF8696B"/>
      </colorScale>
    </cfRule>
  </conditionalFormatting>
  <conditionalFormatting sqref="L41 E41 S41">
    <cfRule type="colorScale" priority="6">
      <colorScale>
        <cfvo type="min"/>
        <cfvo type="percentile" val="50"/>
        <cfvo type="max"/>
        <color rgb="FF63BE7B"/>
        <color rgb="FFFFEB84"/>
        <color rgb="FFF8696B"/>
      </colorScale>
    </cfRule>
  </conditionalFormatting>
  <conditionalFormatting sqref="N41 G41 U41">
    <cfRule type="colorScale" priority="5">
      <colorScale>
        <cfvo type="min"/>
        <cfvo type="percentile" val="50"/>
        <cfvo type="max"/>
        <color rgb="FFF8696B"/>
        <color rgb="FFFFEB84"/>
        <color rgb="FF63BE7B"/>
      </colorScale>
    </cfRule>
  </conditionalFormatting>
  <conditionalFormatting sqref="F133 M133 T133">
    <cfRule type="colorScale" priority="2">
      <colorScale>
        <cfvo type="min"/>
        <cfvo type="percentile" val="50"/>
        <cfvo type="max"/>
        <color rgb="FFF8696B"/>
        <color rgb="FFFFEB84"/>
        <color rgb="FF63BE7B"/>
      </colorScale>
    </cfRule>
  </conditionalFormatting>
  <conditionalFormatting sqref="N133 G133 U133">
    <cfRule type="colorScale" priority="1">
      <colorScale>
        <cfvo type="min"/>
        <cfvo type="percentile" val="50"/>
        <cfvo type="max"/>
        <color rgb="FFF8696B"/>
        <color rgb="FFFFEB84"/>
        <color rgb="FF63BE7B"/>
      </colorScale>
    </cfRule>
  </conditionalFormatting>
  <dataValidations xWindow="1461" yWindow="367" count="12">
    <dataValidation type="whole" showInputMessage="1" showErrorMessage="1" errorTitle="Invalid year" error="Year must be between 2019 and 2030. This cell cannot be blank." promptTitle="Required" prompt="Enter a year to simulate. Valid years can range from 2019 to 2030." sqref="AE13" xr:uid="{0B77E204-677E-49FE-9002-27FB418836FB}">
      <formula1>2019</formula1>
      <formula2>2030</formula2>
    </dataValidation>
    <dataValidation type="decimal" showInputMessage="1" showErrorMessage="1" errorTitle="Error" error="Please enter a value between 0 and 100. This cell cannot be blank." promptTitle="Required" prompt="Discount given to customers who bring their own mug." sqref="AD18" xr:uid="{8123B814-762C-47E3-A5AE-1C021F3AC9DD}">
      <formula1>0</formula1>
      <formula2>100</formula2>
    </dataValidation>
    <dataValidation type="decimal" operator="greaterThanOrEqual" showInputMessage="1" showErrorMessage="1" errorTitle="Error" error="Value cannot be negative. This cell cannot be blank." promptTitle="Required" prompt="Enter the cost to advertise the compostable cup initiative." sqref="AD21:AE21" xr:uid="{99B70563-C3AD-4D3D-B99E-5C1D7240AE67}">
      <formula1>0</formula1>
    </dataValidation>
    <dataValidation type="decimal" operator="greaterThanOrEqual" allowBlank="1" showInputMessage="1" showErrorMessage="1" errorTitle="Error" error="Value cannot be negative." promptTitle="Optional" prompt="Enter an alternate historical revenue for 2018." sqref="AE11" xr:uid="{FB111214-150F-484E-9B09-B45C782B4634}">
      <formula1>0</formula1>
    </dataValidation>
    <dataValidation type="decimal" operator="greaterThanOrEqual" allowBlank="1" showInputMessage="1" showErrorMessage="1" errorTitle="Error" error="Value cannot be negative." promptTitle="Optional" prompt="This value is only used if the box above is unchecked." sqref="AJ13" xr:uid="{0BD24808-24F9-4EE8-BCC0-32E636BAA807}">
      <formula1>0</formula1>
    </dataValidation>
    <dataValidation type="decimal" operator="greaterThanOrEqual" allowBlank="1" showInputMessage="1" showErrorMessage="1" errorTitle="Error" error="Value cannot be negative." promptTitle="Optional" prompt="If empty, the range below will be used." sqref="AI17:AJ17 AI24:AJ24" xr:uid="{9AEF8503-4870-4503-87B9-47C1D358D20D}">
      <formula1>0</formula1>
    </dataValidation>
    <dataValidation type="decimal" operator="greaterThanOrEqual" showInputMessage="1" showErrorMessage="1" errorTitle="Error" error="Value cannot be negative. This cell cannot be blank." promptTitle="Required" prompt="Enter the cost to advertise the reusable mug initiative." sqref="AD22" xr:uid="{887EE9D3-36CA-417B-84CF-D27E2B436587}">
      <formula1>0</formula1>
    </dataValidation>
    <dataValidation type="decimal" operator="greaterThanOrEqual" showInputMessage="1" showErrorMessage="1" errorTitle="Error" error="Value cannot be negative. This cell cannot be blank." promptTitle="Required" prompt="Enter the cost to advertise the combined initiative." sqref="AD23" xr:uid="{3E12B55B-AC69-48DB-8F3C-D7B0BA606C1E}">
      <formula1>0</formula1>
    </dataValidation>
    <dataValidation type="decimal" operator="greaterThanOrEqual" showInputMessage="1" showErrorMessage="1" errorTitle="Error" error="Value cannot be negative. This cell cannot be blank." promptTitle="Required" prompt="Enter the cost of each disposable cup." sqref="AE25" xr:uid="{46882195-3446-46F1-8AA0-E51141D8D830}">
      <formula1>0</formula1>
    </dataValidation>
    <dataValidation type="decimal" operator="greaterThanOrEqual" showInputMessage="1" showErrorMessage="1" errorTitle="Error" error="Value cannot be negative. This cell cannot be blank." promptTitle="Required" prompt="Enter the cost of each compostable cup." sqref="AE26" xr:uid="{94F33469-DAD9-43B5-8359-8FE0604F4A37}">
      <formula1>0</formula1>
    </dataValidation>
    <dataValidation type="decimal" operator="greaterThanOrEqual" showInputMessage="1" showErrorMessage="1" errorTitle="Error" error="Value cannot be negative. This cell cannot be blank." promptTitle="Required" prompt="Enter the selling price for each drink in the simulation." sqref="AE27" xr:uid="{8690A5E3-4AC5-4786-A993-812866DB24DA}">
      <formula1>0</formula1>
    </dataValidation>
    <dataValidation type="decimal" operator="greaterThanOrEqual" allowBlank="1" showInputMessage="1" showErrorMessage="1" errorTitle="Error" error="Value cannot be negative." promptTitle="Optional" prompt="Enter an alternate historical volume for 2018." sqref="AE10" xr:uid="{F1FC086A-0488-4C29-8284-C306CC2B043B}">
      <formula1>0</formula1>
    </dataValidation>
  </dataValidations>
  <hyperlinks>
    <hyperlink ref="C29:H29" location="'Compostable Cup Scenario'!A1" display="Compostable Cup Scenario" xr:uid="{61999F20-8729-4024-9705-E8EF23282EE1}"/>
    <hyperlink ref="J29:O29" location="'Reusable Mug Scenario'!A1" display="Reusable Mug Scenario" xr:uid="{D3A8E6A6-F1C0-4839-B1F4-C48482748775}"/>
    <hyperlink ref="Q29:V29" location="'Combined Scenario'!A1" display="Combined Scenario" xr:uid="{FC323D7C-611D-4207-AB80-D3AC5A81256F}"/>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89" r:id="rId4" name="Check Box 129">
              <controlPr defaultSize="0" autoFill="0" autoLine="0" autoPict="0">
                <anchor moveWithCells="1">
                  <from>
                    <xdr:col>29</xdr:col>
                    <xdr:colOff>171450</xdr:colOff>
                    <xdr:row>14</xdr:row>
                    <xdr:rowOff>0</xdr:rowOff>
                  </from>
                  <to>
                    <xdr:col>30</xdr:col>
                    <xdr:colOff>495300</xdr:colOff>
                    <xdr:row>15</xdr:row>
                    <xdr:rowOff>38100</xdr:rowOff>
                  </to>
                </anchor>
              </controlPr>
            </control>
          </mc:Choice>
        </mc:AlternateContent>
        <mc:AlternateContent xmlns:mc="http://schemas.openxmlformats.org/markup-compatibility/2006">
          <mc:Choice Requires="x14">
            <control shapeId="15490" r:id="rId5" name="Check Box 130">
              <controlPr defaultSize="0" autoFill="0" autoLine="0" autoPict="0">
                <anchor moveWithCells="1">
                  <from>
                    <xdr:col>29</xdr:col>
                    <xdr:colOff>171450</xdr:colOff>
                    <xdr:row>15</xdr:row>
                    <xdr:rowOff>0</xdr:rowOff>
                  </from>
                  <to>
                    <xdr:col>30</xdr:col>
                    <xdr:colOff>504825</xdr:colOff>
                    <xdr:row>16</xdr:row>
                    <xdr:rowOff>0</xdr:rowOff>
                  </to>
                </anchor>
              </controlPr>
            </control>
          </mc:Choice>
        </mc:AlternateContent>
        <mc:AlternateContent xmlns:mc="http://schemas.openxmlformats.org/markup-compatibility/2006">
          <mc:Choice Requires="x14">
            <control shapeId="15492" r:id="rId6" name="Spinner 132">
              <controlPr defaultSize="0" autoPict="0">
                <anchor moveWithCells="1" sizeWithCells="1">
                  <from>
                    <xdr:col>29</xdr:col>
                    <xdr:colOff>304800</xdr:colOff>
                    <xdr:row>12</xdr:row>
                    <xdr:rowOff>0</xdr:rowOff>
                  </from>
                  <to>
                    <xdr:col>30</xdr:col>
                    <xdr:colOff>85725</xdr:colOff>
                    <xdr:row>12</xdr:row>
                    <xdr:rowOff>323850</xdr:rowOff>
                  </to>
                </anchor>
              </controlPr>
            </control>
          </mc:Choice>
        </mc:AlternateContent>
        <mc:AlternateContent xmlns:mc="http://schemas.openxmlformats.org/markup-compatibility/2006">
          <mc:Choice Requires="x14">
            <control shapeId="15493" r:id="rId7" name="Spinner 133">
              <controlPr defaultSize="0" autoPict="0">
                <anchor moveWithCells="1" sizeWithCells="1">
                  <from>
                    <xdr:col>32</xdr:col>
                    <xdr:colOff>19050</xdr:colOff>
                    <xdr:row>26</xdr:row>
                    <xdr:rowOff>19050</xdr:rowOff>
                  </from>
                  <to>
                    <xdr:col>32</xdr:col>
                    <xdr:colOff>323850</xdr:colOff>
                    <xdr:row>26</xdr:row>
                    <xdr:rowOff>247650</xdr:rowOff>
                  </to>
                </anchor>
              </controlPr>
            </control>
          </mc:Choice>
        </mc:AlternateContent>
        <mc:AlternateContent xmlns:mc="http://schemas.openxmlformats.org/markup-compatibility/2006">
          <mc:Choice Requires="x14">
            <control shapeId="15494" r:id="rId8" name="Spinner 134">
              <controlPr defaultSize="0" autoPict="0">
                <anchor moveWithCells="1" sizeWithCells="1">
                  <from>
                    <xdr:col>33</xdr:col>
                    <xdr:colOff>609600</xdr:colOff>
                    <xdr:row>26</xdr:row>
                    <xdr:rowOff>0</xdr:rowOff>
                  </from>
                  <to>
                    <xdr:col>34</xdr:col>
                    <xdr:colOff>323850</xdr:colOff>
                    <xdr:row>26</xdr:row>
                    <xdr:rowOff>257175</xdr:rowOff>
                  </to>
                </anchor>
              </controlPr>
            </control>
          </mc:Choice>
        </mc:AlternateContent>
        <mc:AlternateContent xmlns:mc="http://schemas.openxmlformats.org/markup-compatibility/2006">
          <mc:Choice Requires="x14">
            <control shapeId="15495" r:id="rId9" name="Spinner 135">
              <controlPr defaultSize="0" autoPict="0">
                <anchor moveWithCells="1" sizeWithCells="1">
                  <from>
                    <xdr:col>28</xdr:col>
                    <xdr:colOff>304800</xdr:colOff>
                    <xdr:row>17</xdr:row>
                    <xdr:rowOff>19050</xdr:rowOff>
                  </from>
                  <to>
                    <xdr:col>29</xdr:col>
                    <xdr:colOff>333375</xdr:colOff>
                    <xdr:row>18</xdr:row>
                    <xdr:rowOff>266700</xdr:rowOff>
                  </to>
                </anchor>
              </controlPr>
            </control>
          </mc:Choice>
        </mc:AlternateContent>
        <mc:AlternateContent xmlns:mc="http://schemas.openxmlformats.org/markup-compatibility/2006">
          <mc:Choice Requires="x14">
            <control shapeId="15496" r:id="rId10" name="Spinner 136">
              <controlPr defaultSize="0" autoPict="0">
                <anchor moveWithCells="1" sizeWithCells="1">
                  <from>
                    <xdr:col>32</xdr:col>
                    <xdr:colOff>19050</xdr:colOff>
                    <xdr:row>19</xdr:row>
                    <xdr:rowOff>19050</xdr:rowOff>
                  </from>
                  <to>
                    <xdr:col>32</xdr:col>
                    <xdr:colOff>323850</xdr:colOff>
                    <xdr:row>19</xdr:row>
                    <xdr:rowOff>247650</xdr:rowOff>
                  </to>
                </anchor>
              </controlPr>
            </control>
          </mc:Choice>
        </mc:AlternateContent>
        <mc:AlternateContent xmlns:mc="http://schemas.openxmlformats.org/markup-compatibility/2006">
          <mc:Choice Requires="x14">
            <control shapeId="15497" r:id="rId11" name="Spinner 137">
              <controlPr defaultSize="0" autoPict="0">
                <anchor moveWithCells="1" sizeWithCells="1">
                  <from>
                    <xdr:col>33</xdr:col>
                    <xdr:colOff>609600</xdr:colOff>
                    <xdr:row>19</xdr:row>
                    <xdr:rowOff>0</xdr:rowOff>
                  </from>
                  <to>
                    <xdr:col>34</xdr:col>
                    <xdr:colOff>323850</xdr:colOff>
                    <xdr:row>19</xdr:row>
                    <xdr:rowOff>257175</xdr:rowOff>
                  </to>
                </anchor>
              </controlPr>
            </control>
          </mc:Choice>
        </mc:AlternateContent>
        <mc:AlternateContent xmlns:mc="http://schemas.openxmlformats.org/markup-compatibility/2006">
          <mc:Choice Requires="x14">
            <control shapeId="15499" r:id="rId12" name="Button 139">
              <controlPr defaultSize="0" print="0" autoFill="0" autoPict="0" macro="[0]!myRecalc">
                <anchor moveWithCells="1" sizeWithCells="1">
                  <from>
                    <xdr:col>11</xdr:col>
                    <xdr:colOff>0</xdr:colOff>
                    <xdr:row>24</xdr:row>
                    <xdr:rowOff>0</xdr:rowOff>
                  </from>
                  <to>
                    <xdr:col>13</xdr:col>
                    <xdr:colOff>0</xdr:colOff>
                    <xdr:row>27</xdr:row>
                    <xdr:rowOff>0</xdr:rowOff>
                  </to>
                </anchor>
              </controlPr>
            </control>
          </mc:Choice>
        </mc:AlternateContent>
        <mc:AlternateContent xmlns:mc="http://schemas.openxmlformats.org/markup-compatibility/2006">
          <mc:Choice Requires="x14">
            <control shapeId="15500" r:id="rId13" name="Button 140">
              <controlPr defaultSize="0" print="0" autoFill="0" autoPict="0" macro="[0]!myRecalc">
                <anchor moveWithCells="1" sizeWithCells="1">
                  <from>
                    <xdr:col>35</xdr:col>
                    <xdr:colOff>304800</xdr:colOff>
                    <xdr:row>7</xdr:row>
                    <xdr:rowOff>57150</xdr:rowOff>
                  </from>
                  <to>
                    <xdr:col>36</xdr:col>
                    <xdr:colOff>552450</xdr:colOff>
                    <xdr:row>7</xdr:row>
                    <xdr:rowOff>314325</xdr:rowOff>
                  </to>
                </anchor>
              </controlPr>
            </control>
          </mc:Choice>
        </mc:AlternateContent>
        <mc:AlternateContent xmlns:mc="http://schemas.openxmlformats.org/markup-compatibility/2006">
          <mc:Choice Requires="x14">
            <control shapeId="15502" r:id="rId14" name="Check Box 142">
              <controlPr defaultSize="0" autoFill="0" autoLine="0" autoPict="0">
                <anchor moveWithCells="1">
                  <from>
                    <xdr:col>35</xdr:col>
                    <xdr:colOff>266700</xdr:colOff>
                    <xdr:row>8</xdr:row>
                    <xdr:rowOff>323850</xdr:rowOff>
                  </from>
                  <to>
                    <xdr:col>35</xdr:col>
                    <xdr:colOff>762000</xdr:colOff>
                    <xdr:row>10</xdr:row>
                    <xdr:rowOff>323850</xdr:rowOff>
                  </to>
                </anchor>
              </controlPr>
            </control>
          </mc:Choice>
        </mc:AlternateContent>
        <mc:AlternateContent xmlns:mc="http://schemas.openxmlformats.org/markup-compatibility/2006">
          <mc:Choice Requires="x14">
            <control shapeId="15504" r:id="rId15" name="Button 144">
              <controlPr defaultSize="0" print="0" autoFill="0" autoPict="0" macro="[0]!myRecalc">
                <anchor moveWithCells="1" sizeWithCells="1">
                  <from>
                    <xdr:col>19</xdr:col>
                    <xdr:colOff>800100</xdr:colOff>
                    <xdr:row>55</xdr:row>
                    <xdr:rowOff>57150</xdr:rowOff>
                  </from>
                  <to>
                    <xdr:col>21</xdr:col>
                    <xdr:colOff>28575</xdr:colOff>
                    <xdr:row>60</xdr:row>
                    <xdr:rowOff>0</xdr:rowOff>
                  </to>
                </anchor>
              </controlPr>
            </control>
          </mc:Choice>
        </mc:AlternateContent>
        <mc:AlternateContent xmlns:mc="http://schemas.openxmlformats.org/markup-compatibility/2006">
          <mc:Choice Requires="x14">
            <control shapeId="15505" r:id="rId16" name="Button 145">
              <controlPr defaultSize="0" print="0" autoFill="0" autoPict="0" macro="[0]!myRecalc">
                <anchor moveWithCells="1" sizeWithCells="1">
                  <from>
                    <xdr:col>19</xdr:col>
                    <xdr:colOff>552450</xdr:colOff>
                    <xdr:row>138</xdr:row>
                    <xdr:rowOff>57150</xdr:rowOff>
                  </from>
                  <to>
                    <xdr:col>20</xdr:col>
                    <xdr:colOff>981075</xdr:colOff>
                    <xdr:row>142</xdr:row>
                    <xdr:rowOff>171450</xdr:rowOff>
                  </to>
                </anchor>
              </controlPr>
            </control>
          </mc:Choice>
        </mc:AlternateContent>
        <mc:AlternateContent xmlns:mc="http://schemas.openxmlformats.org/markup-compatibility/2006">
          <mc:Choice Requires="x14">
            <control shapeId="15506" r:id="rId17" name="Button 146">
              <controlPr defaultSize="0" print="0" autoFill="0" autoPict="0" macro="[0]!myRecalc">
                <anchor moveWithCells="1" sizeWithCells="1">
                  <from>
                    <xdr:col>11</xdr:col>
                    <xdr:colOff>495300</xdr:colOff>
                    <xdr:row>98</xdr:row>
                    <xdr:rowOff>133350</xdr:rowOff>
                  </from>
                  <to>
                    <xdr:col>12</xdr:col>
                    <xdr:colOff>2000250</xdr:colOff>
                    <xdr:row>103</xdr:row>
                    <xdr:rowOff>76200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10" id="{40E51395-B82C-47E5-B2CA-0CB8482ABF26}">
            <x14:iconSet iconSet="3Triangles">
              <x14:cfvo type="percent">
                <xm:f>0</xm:f>
              </x14:cfvo>
              <x14:cfvo type="percent" gte="0">
                <xm:f>1</xm:f>
              </x14:cfvo>
              <x14:cfvo type="percent">
                <xm:f>99</xm:f>
              </x14:cfvo>
            </x14:iconSet>
          </x14:cfRule>
          <xm:sqref>E38 L38 S38</xm:sqref>
        </x14:conditionalFormatting>
        <x14:conditionalFormatting xmlns:xm="http://schemas.microsoft.com/office/excel/2006/main">
          <x14:cfRule type="iconSet" priority="9" id="{8321367F-1966-4113-BCD7-B027B131A161}">
            <x14:iconSet iconSet="3Triangles">
              <x14:cfvo type="percent">
                <xm:f>0</xm:f>
              </x14:cfvo>
              <x14:cfvo type="percent" gte="0">
                <xm:f>1</xm:f>
              </x14:cfvo>
              <x14:cfvo type="percent">
                <xm:f>99</xm:f>
              </x14:cfvo>
            </x14:iconSet>
          </x14:cfRule>
          <xm:sqref>F38 M38 T38</xm:sqref>
        </x14:conditionalFormatting>
        <x14:conditionalFormatting xmlns:xm="http://schemas.microsoft.com/office/excel/2006/main">
          <x14:cfRule type="iconSet" priority="8" id="{AD0B05A8-2D51-4DFE-9BFE-2556175EC92E}">
            <x14:iconSet iconSet="3Triangles" reverse="1">
              <x14:cfvo type="percent">
                <xm:f>0</xm:f>
              </x14:cfvo>
              <x14:cfvo type="percent" gte="0">
                <xm:f>1</xm:f>
              </x14:cfvo>
              <x14:cfvo type="percent">
                <xm:f>99</xm:f>
              </x14:cfvo>
            </x14:iconSet>
          </x14:cfRule>
          <xm:sqref>N38 U38 G38</xm:sqref>
        </x14:conditionalFormatting>
        <x14:conditionalFormatting xmlns:xm="http://schemas.microsoft.com/office/excel/2006/main">
          <x14:cfRule type="iconSet" priority="7" id="{7E31A9FB-F407-4D24-B6F9-D9E05762C11C}">
            <x14:iconSet iconSet="3Triangles">
              <x14:cfvo type="percent">
                <xm:f>0</xm:f>
              </x14:cfvo>
              <x14:cfvo type="percent" gte="0">
                <xm:f>1</xm:f>
              </x14:cfvo>
              <x14:cfvo type="percent">
                <xm:f>99</xm:f>
              </x14:cfvo>
            </x14:iconSet>
          </x14:cfRule>
          <xm:sqref>E39 L39 S39</xm:sqref>
        </x14:conditionalFormatting>
        <x14:conditionalFormatting xmlns:xm="http://schemas.microsoft.com/office/excel/2006/main">
          <x14:cfRule type="iconSet" priority="4" id="{A1E6BFFA-4DE3-4B9A-BFB6-8CC12A64CCCF}">
            <x14:iconSet iconSet="3Triangles">
              <x14:cfvo type="percent">
                <xm:f>0</xm:f>
              </x14:cfvo>
              <x14:cfvo type="percent" gte="0">
                <xm:f>1</xm:f>
              </x14:cfvo>
              <x14:cfvo type="percent">
                <xm:f>99</xm:f>
              </x14:cfvo>
            </x14:iconSet>
          </x14:cfRule>
          <xm:sqref>F39 M39 T39</xm:sqref>
        </x14:conditionalFormatting>
        <x14:conditionalFormatting xmlns:xm="http://schemas.microsoft.com/office/excel/2006/main">
          <x14:cfRule type="iconSet" priority="3" id="{5436082C-BE49-412F-A62B-7EBFD71C179C}">
            <x14:iconSet iconSet="3Triangles" reverse="1">
              <x14:cfvo type="percent">
                <xm:f>0</xm:f>
              </x14:cfvo>
              <x14:cfvo type="percent" gte="0">
                <xm:f>1</xm:f>
              </x14:cfvo>
              <x14:cfvo type="percent">
                <xm:f>99</xm:f>
              </x14:cfvo>
            </x14:iconSet>
          </x14:cfRule>
          <xm:sqref>G39 N39 U39</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8A6118-9EC1-4575-A62A-71E56D34C7C9}">
  <sheetPr codeName="Sheet9"/>
  <dimension ref="B1:AE49"/>
  <sheetViews>
    <sheetView showGridLines="0" showRowColHeaders="0" zoomScale="90" zoomScaleNormal="90" workbookViewId="0">
      <pane xSplit="29" ySplit="3" topLeftCell="AD4" activePane="bottomRight" state="frozen"/>
      <selection pane="topRight" activeCell="AD1" sqref="AD1"/>
      <selection pane="bottomLeft" activeCell="A4" sqref="A4"/>
      <selection pane="bottomRight" activeCell="R26" sqref="R26"/>
    </sheetView>
  </sheetViews>
  <sheetFormatPr defaultColWidth="8.85546875" defaultRowHeight="15" x14ac:dyDescent="0.25"/>
  <cols>
    <col min="1" max="1" width="1.7109375" style="17" customWidth="1"/>
    <col min="2" max="3" width="3.85546875" style="17" customWidth="1"/>
    <col min="4" max="4" width="5.85546875" style="17" bestFit="1" customWidth="1"/>
    <col min="5" max="5" width="13.85546875" style="17" bestFit="1" customWidth="1"/>
    <col min="6" max="6" width="14.7109375" style="17" bestFit="1" customWidth="1"/>
    <col min="7" max="9" width="3.85546875" style="17" customWidth="1"/>
    <col min="10" max="10" width="6.140625" style="17" customWidth="1"/>
    <col min="11" max="11" width="14.140625" style="17" bestFit="1" customWidth="1"/>
    <col min="12" max="12" width="15" style="17" bestFit="1" customWidth="1"/>
    <col min="13" max="15" width="3.85546875" style="17" customWidth="1"/>
    <col min="16" max="16" width="6" style="17" customWidth="1"/>
    <col min="17" max="17" width="17.42578125" style="17" bestFit="1" customWidth="1"/>
    <col min="18" max="18" width="14.85546875" style="17" bestFit="1" customWidth="1"/>
    <col min="19" max="21" width="3.85546875" style="17" customWidth="1"/>
    <col min="22" max="22" width="5.140625" style="17" bestFit="1" customWidth="1"/>
    <col min="23" max="23" width="17.85546875" style="17" bestFit="1" customWidth="1"/>
    <col min="24" max="24" width="9.5703125" style="17" bestFit="1" customWidth="1"/>
    <col min="25" max="25" width="8.85546875" style="17" customWidth="1"/>
    <col min="26" max="26" width="17.28515625" style="17" bestFit="1" customWidth="1"/>
    <col min="27" max="28" width="8.85546875" style="17" customWidth="1"/>
    <col min="29" max="29" width="79.28515625" style="17" customWidth="1"/>
    <col min="30" max="30" width="8.85546875" style="17" customWidth="1"/>
    <col min="31" max="31" width="8.85546875" style="64" customWidth="1"/>
    <col min="32" max="32" width="8.85546875" style="17" customWidth="1"/>
    <col min="33" max="34" width="8.85546875" style="17"/>
    <col min="35" max="36" width="8.85546875" style="17" customWidth="1"/>
    <col min="37" max="37" width="8.85546875" style="17"/>
    <col min="38" max="40" width="8.85546875" style="17" customWidth="1"/>
    <col min="41" max="41" width="8.85546875" style="17"/>
    <col min="42" max="42" width="8.85546875" style="17" customWidth="1"/>
    <col min="43" max="44" width="8.85546875" style="17"/>
    <col min="45" max="45" width="8.85546875" style="17" customWidth="1"/>
    <col min="46" max="16384" width="8.85546875" style="17"/>
  </cols>
  <sheetData>
    <row r="1" spans="2:31" ht="6" customHeight="1" x14ac:dyDescent="0.25">
      <c r="AE1" s="17"/>
    </row>
    <row r="2" spans="2:31" ht="32.25" thickBot="1" x14ac:dyDescent="0.55000000000000004">
      <c r="B2" s="81" t="s">
        <v>103</v>
      </c>
      <c r="C2" s="81"/>
      <c r="D2" s="81"/>
      <c r="E2" s="81"/>
      <c r="F2" s="81"/>
      <c r="G2" s="81"/>
      <c r="H2" s="81"/>
      <c r="I2" s="81"/>
      <c r="J2" s="81"/>
      <c r="K2" s="81"/>
      <c r="L2" s="81"/>
      <c r="M2" s="81"/>
      <c r="N2" s="81"/>
      <c r="O2" s="81"/>
      <c r="P2" s="81"/>
      <c r="Q2" s="81"/>
      <c r="R2" s="81"/>
      <c r="S2" s="81"/>
      <c r="T2" s="81"/>
      <c r="U2" s="81"/>
      <c r="V2" s="81"/>
      <c r="W2" s="81"/>
      <c r="X2" s="81"/>
      <c r="Y2" s="81"/>
      <c r="Z2" s="81"/>
      <c r="AA2" s="81"/>
      <c r="AE2" s="17"/>
    </row>
    <row r="3" spans="2:31" s="189" customFormat="1" ht="28.15" customHeight="1" thickTop="1" thickBot="1" x14ac:dyDescent="0.3"/>
    <row r="4" spans="2:31" x14ac:dyDescent="0.25">
      <c r="B4" s="20"/>
      <c r="AE4" s="17"/>
    </row>
    <row r="5" spans="2:31" x14ac:dyDescent="0.25">
      <c r="B5" s="20"/>
      <c r="C5" s="20"/>
      <c r="D5" s="20"/>
      <c r="E5" s="20"/>
      <c r="P5" s="67"/>
      <c r="Q5" s="121" t="s">
        <v>104</v>
      </c>
      <c r="AE5" s="17"/>
    </row>
    <row r="6" spans="2:31" x14ac:dyDescent="0.25">
      <c r="B6" s="20"/>
      <c r="C6" s="20"/>
      <c r="D6" s="20"/>
      <c r="E6" s="20"/>
      <c r="P6" s="66"/>
      <c r="Q6" s="121" t="s">
        <v>105</v>
      </c>
      <c r="W6" s="122"/>
      <c r="AE6" s="17"/>
    </row>
    <row r="7" spans="2:31" ht="15.75" thickBot="1" x14ac:dyDescent="0.3">
      <c r="B7" s="20"/>
      <c r="AE7" s="17"/>
    </row>
    <row r="8" spans="2:31" ht="20.25" thickBot="1" x14ac:dyDescent="0.35">
      <c r="C8" s="329" t="s">
        <v>106</v>
      </c>
      <c r="D8" s="330"/>
      <c r="E8" s="330"/>
      <c r="F8" s="330"/>
      <c r="G8" s="331"/>
      <c r="I8" s="329" t="s">
        <v>107</v>
      </c>
      <c r="J8" s="330"/>
      <c r="K8" s="330"/>
      <c r="L8" s="330"/>
      <c r="M8" s="331"/>
      <c r="O8" s="329" t="s">
        <v>108</v>
      </c>
      <c r="P8" s="330"/>
      <c r="Q8" s="330"/>
      <c r="R8" s="330"/>
      <c r="S8" s="331"/>
      <c r="V8" s="328" t="s">
        <v>109</v>
      </c>
      <c r="W8" s="328"/>
      <c r="X8" s="328"/>
      <c r="Z8" s="328" t="s">
        <v>110</v>
      </c>
      <c r="AA8" s="328"/>
      <c r="AE8" s="17"/>
    </row>
    <row r="9" spans="2:31" ht="15.75" thickTop="1" x14ac:dyDescent="0.25">
      <c r="C9" s="72"/>
      <c r="D9" s="54"/>
      <c r="E9" s="54"/>
      <c r="F9" s="54"/>
      <c r="G9" s="73"/>
      <c r="I9" s="72"/>
      <c r="J9" s="54"/>
      <c r="K9" s="54"/>
      <c r="L9" s="54"/>
      <c r="M9" s="119"/>
      <c r="O9" s="72"/>
      <c r="P9" s="54"/>
      <c r="Q9" s="54"/>
      <c r="R9" s="54"/>
      <c r="S9" s="73"/>
      <c r="V9" s="7">
        <f ca="1">VLOOKUP(RAND(),Metrics!$V$10:$W$13,2,TRUE)</f>
        <v>0.15</v>
      </c>
      <c r="W9" s="105" t="s">
        <v>29</v>
      </c>
      <c r="X9" s="105" t="s">
        <v>111</v>
      </c>
      <c r="Z9" s="105" t="s">
        <v>112</v>
      </c>
      <c r="AA9" s="7">
        <f ca="1">RAND()</f>
        <v>2.2065917891374132E-2</v>
      </c>
      <c r="AE9" s="17"/>
    </row>
    <row r="10" spans="2:31" ht="15.75" thickBot="1" x14ac:dyDescent="0.3">
      <c r="C10" s="72"/>
      <c r="D10" s="68" t="s">
        <v>113</v>
      </c>
      <c r="E10" s="68" t="s">
        <v>114</v>
      </c>
      <c r="F10" s="68" t="s">
        <v>115</v>
      </c>
      <c r="G10" s="119"/>
      <c r="I10" s="120"/>
      <c r="J10" s="68" t="s">
        <v>116</v>
      </c>
      <c r="K10" s="68" t="s">
        <v>117</v>
      </c>
      <c r="L10" s="68" t="s">
        <v>118</v>
      </c>
      <c r="M10" s="73"/>
      <c r="O10" s="120"/>
      <c r="P10" s="68" t="s">
        <v>119</v>
      </c>
      <c r="Q10" s="68" t="s">
        <v>120</v>
      </c>
      <c r="R10" s="68" t="s">
        <v>121</v>
      </c>
      <c r="S10" s="119"/>
      <c r="V10" s="105">
        <v>0</v>
      </c>
      <c r="W10" s="123">
        <v>0.1</v>
      </c>
      <c r="X10" s="123">
        <v>0.25</v>
      </c>
    </row>
    <row r="11" spans="2:31" ht="15.75" thickTop="1" x14ac:dyDescent="0.25">
      <c r="C11" s="72"/>
      <c r="D11" s="54">
        <v>2013</v>
      </c>
      <c r="E11" s="75">
        <v>2225</v>
      </c>
      <c r="F11" s="212">
        <v>10410</v>
      </c>
      <c r="G11" s="119"/>
      <c r="I11" s="120"/>
      <c r="J11" s="69">
        <v>2013</v>
      </c>
      <c r="K11" s="75">
        <v>7349</v>
      </c>
      <c r="L11" s="212">
        <v>27053.25</v>
      </c>
      <c r="M11" s="73"/>
      <c r="O11" s="120"/>
      <c r="P11" s="69">
        <f t="shared" ref="P11:P28" si="0">J11</f>
        <v>2013</v>
      </c>
      <c r="Q11" s="75">
        <f t="shared" ref="Q11:Q28" si="1">SUM(E11,K11)</f>
        <v>9574</v>
      </c>
      <c r="R11" s="70">
        <f>F11+L11</f>
        <v>37463.25</v>
      </c>
      <c r="S11" s="119"/>
      <c r="V11" s="105">
        <f>V10+X10</f>
        <v>0.25</v>
      </c>
      <c r="W11" s="123">
        <v>0.15</v>
      </c>
      <c r="X11" s="123">
        <v>0.4</v>
      </c>
    </row>
    <row r="12" spans="2:31" x14ac:dyDescent="0.25">
      <c r="C12" s="72"/>
      <c r="D12" s="54">
        <v>2014</v>
      </c>
      <c r="E12" s="75">
        <v>5355</v>
      </c>
      <c r="F12" s="212">
        <v>25473.25</v>
      </c>
      <c r="G12" s="119"/>
      <c r="I12" s="120"/>
      <c r="J12" s="69">
        <v>2014</v>
      </c>
      <c r="K12" s="75">
        <v>17517</v>
      </c>
      <c r="L12" s="212">
        <v>64905</v>
      </c>
      <c r="M12" s="73"/>
      <c r="O12" s="120"/>
      <c r="P12" s="69">
        <f t="shared" si="0"/>
        <v>2014</v>
      </c>
      <c r="Q12" s="75">
        <f t="shared" si="1"/>
        <v>22872</v>
      </c>
      <c r="R12" s="70">
        <f t="shared" ref="R12:R16" si="2">F12+L12</f>
        <v>90378.25</v>
      </c>
      <c r="S12" s="119"/>
      <c r="V12" s="105">
        <f>V11+X11</f>
        <v>0.65</v>
      </c>
      <c r="W12" s="123">
        <v>0.2</v>
      </c>
      <c r="X12" s="123">
        <v>0.25</v>
      </c>
    </row>
    <row r="13" spans="2:31" x14ac:dyDescent="0.25">
      <c r="C13" s="72"/>
      <c r="D13" s="54">
        <v>2015</v>
      </c>
      <c r="E13" s="75">
        <v>7591</v>
      </c>
      <c r="F13" s="212">
        <v>36167</v>
      </c>
      <c r="G13" s="119"/>
      <c r="I13" s="120"/>
      <c r="J13" s="69">
        <v>2015</v>
      </c>
      <c r="K13" s="75">
        <v>27314</v>
      </c>
      <c r="L13" s="212">
        <v>103087.5</v>
      </c>
      <c r="M13" s="73"/>
      <c r="O13" s="120"/>
      <c r="P13" s="69">
        <f t="shared" si="0"/>
        <v>2015</v>
      </c>
      <c r="Q13" s="75">
        <f t="shared" si="1"/>
        <v>34905</v>
      </c>
      <c r="R13" s="70">
        <f t="shared" si="2"/>
        <v>139254.5</v>
      </c>
      <c r="S13" s="119"/>
      <c r="V13" s="105">
        <f>V12+X12</f>
        <v>0.9</v>
      </c>
      <c r="W13" s="123">
        <v>0.3</v>
      </c>
      <c r="X13" s="123">
        <v>0.1</v>
      </c>
    </row>
    <row r="14" spans="2:31" x14ac:dyDescent="0.25">
      <c r="C14" s="72"/>
      <c r="D14" s="54">
        <v>2016</v>
      </c>
      <c r="E14" s="75">
        <v>9384</v>
      </c>
      <c r="F14" s="212">
        <v>43369.75</v>
      </c>
      <c r="G14" s="119"/>
      <c r="I14" s="120"/>
      <c r="J14" s="69">
        <v>2016</v>
      </c>
      <c r="K14" s="75">
        <v>39313</v>
      </c>
      <c r="L14" s="212">
        <v>148215.25</v>
      </c>
      <c r="M14" s="73"/>
      <c r="O14" s="120"/>
      <c r="P14" s="69">
        <f t="shared" si="0"/>
        <v>2016</v>
      </c>
      <c r="Q14" s="75">
        <f t="shared" si="1"/>
        <v>48697</v>
      </c>
      <c r="R14" s="70">
        <f t="shared" si="2"/>
        <v>191585</v>
      </c>
      <c r="S14" s="119"/>
    </row>
    <row r="15" spans="2:31" x14ac:dyDescent="0.25">
      <c r="C15" s="72"/>
      <c r="D15" s="54">
        <v>2017</v>
      </c>
      <c r="E15" s="75">
        <v>14696</v>
      </c>
      <c r="F15" s="212">
        <v>66158.75</v>
      </c>
      <c r="G15" s="119"/>
      <c r="I15" s="120"/>
      <c r="J15" s="69">
        <v>2017</v>
      </c>
      <c r="K15" s="75">
        <v>49321</v>
      </c>
      <c r="L15" s="212">
        <v>201234</v>
      </c>
      <c r="M15" s="73"/>
      <c r="O15" s="120"/>
      <c r="P15" s="69">
        <f t="shared" si="0"/>
        <v>2017</v>
      </c>
      <c r="Q15" s="75">
        <f t="shared" si="1"/>
        <v>64017</v>
      </c>
      <c r="R15" s="70">
        <f t="shared" si="2"/>
        <v>267392.75</v>
      </c>
      <c r="S15" s="119"/>
    </row>
    <row r="16" spans="2:31" x14ac:dyDescent="0.25">
      <c r="C16" s="72"/>
      <c r="D16" s="54">
        <v>2018</v>
      </c>
      <c r="E16" s="75">
        <v>12965</v>
      </c>
      <c r="F16" s="212">
        <v>58648.25</v>
      </c>
      <c r="G16" s="119"/>
      <c r="I16" s="120"/>
      <c r="J16" s="69">
        <v>2018</v>
      </c>
      <c r="K16" s="75">
        <v>53297</v>
      </c>
      <c r="L16" s="212">
        <v>216885.5</v>
      </c>
      <c r="M16" s="73"/>
      <c r="O16" s="120"/>
      <c r="P16" s="69">
        <f t="shared" si="0"/>
        <v>2018</v>
      </c>
      <c r="Q16" s="75">
        <f t="shared" si="1"/>
        <v>66262</v>
      </c>
      <c r="R16" s="70">
        <f t="shared" si="2"/>
        <v>275533.75</v>
      </c>
      <c r="S16" s="119"/>
      <c r="AE16" s="17"/>
    </row>
    <row r="17" spans="3:31" x14ac:dyDescent="0.25">
      <c r="C17" s="72"/>
      <c r="D17" s="54">
        <v>2019</v>
      </c>
      <c r="E17" s="130">
        <f>_xlfn.FORECAST.ETS($D17,E$11:E16,$D$11:$D16)</f>
        <v>16531.069358446781</v>
      </c>
      <c r="F17" s="213" t="s">
        <v>122</v>
      </c>
      <c r="G17" s="119"/>
      <c r="I17" s="120"/>
      <c r="J17" s="69">
        <v>2019</v>
      </c>
      <c r="K17" s="130">
        <f>_xlfn.FORECAST.ETS($J17,K$11:K16,$J$11:$J16)</f>
        <v>65222.104363047416</v>
      </c>
      <c r="L17" s="213" t="s">
        <v>122</v>
      </c>
      <c r="M17" s="73"/>
      <c r="O17" s="120"/>
      <c r="P17" s="69">
        <f t="shared" si="0"/>
        <v>2019</v>
      </c>
      <c r="Q17" s="130">
        <f t="shared" si="1"/>
        <v>81753.173721494197</v>
      </c>
      <c r="R17" s="213" t="s">
        <v>122</v>
      </c>
      <c r="S17" s="119"/>
      <c r="AE17" s="17"/>
    </row>
    <row r="18" spans="3:31" x14ac:dyDescent="0.25">
      <c r="C18" s="72"/>
      <c r="D18" s="54">
        <v>2020</v>
      </c>
      <c r="E18" s="130">
        <f>_xlfn.FORECAST.ETS($D18,E$11:E17,$D$11:$D17)</f>
        <v>18431.255266360775</v>
      </c>
      <c r="F18" s="213" t="s">
        <v>122</v>
      </c>
      <c r="G18" s="119"/>
      <c r="I18" s="120"/>
      <c r="J18" s="69">
        <v>2020</v>
      </c>
      <c r="K18" s="130">
        <f>_xlfn.FORECAST.ETS($J18,K$11:K17,$J$11:$J17)</f>
        <v>74800.504614885402</v>
      </c>
      <c r="L18" s="213" t="s">
        <v>122</v>
      </c>
      <c r="M18" s="73"/>
      <c r="O18" s="120"/>
      <c r="P18" s="69">
        <f t="shared" si="0"/>
        <v>2020</v>
      </c>
      <c r="Q18" s="130">
        <f t="shared" si="1"/>
        <v>93231.75988124618</v>
      </c>
      <c r="R18" s="213" t="s">
        <v>122</v>
      </c>
      <c r="S18" s="119"/>
      <c r="AE18" s="17"/>
    </row>
    <row r="19" spans="3:31" x14ac:dyDescent="0.25">
      <c r="C19" s="72"/>
      <c r="D19" s="54">
        <v>2021</v>
      </c>
      <c r="E19" s="130">
        <f>_xlfn.FORECAST.ETS($D19,E$11:E18,$D$11:$D18)</f>
        <v>20874.116351804758</v>
      </c>
      <c r="F19" s="213" t="s">
        <v>122</v>
      </c>
      <c r="G19" s="119"/>
      <c r="I19" s="120"/>
      <c r="J19" s="69">
        <v>2021</v>
      </c>
      <c r="K19" s="130">
        <f>_xlfn.FORECAST.ETS($J19,K$11:K18,$J$11:$J18)</f>
        <v>84168.172977750801</v>
      </c>
      <c r="L19" s="213" t="s">
        <v>122</v>
      </c>
      <c r="M19" s="73"/>
      <c r="O19" s="120"/>
      <c r="P19" s="69">
        <f t="shared" si="0"/>
        <v>2021</v>
      </c>
      <c r="Q19" s="130">
        <f t="shared" si="1"/>
        <v>105042.28932955556</v>
      </c>
      <c r="R19" s="213" t="s">
        <v>122</v>
      </c>
      <c r="S19" s="119"/>
      <c r="AE19" s="17"/>
    </row>
    <row r="20" spans="3:31" x14ac:dyDescent="0.25">
      <c r="C20" s="72"/>
      <c r="D20" s="54">
        <v>2022</v>
      </c>
      <c r="E20" s="130">
        <f>_xlfn.FORECAST.ETS($D20,E$11:E19,$D$11:$D19)</f>
        <v>23059.883473296137</v>
      </c>
      <c r="F20" s="213" t="s">
        <v>122</v>
      </c>
      <c r="G20" s="119"/>
      <c r="I20" s="120"/>
      <c r="J20" s="69">
        <v>2022</v>
      </c>
      <c r="K20" s="130">
        <f>_xlfn.FORECAST.ETS($J20,K$11:K19,$J$11:$J19)</f>
        <v>93541.228329735022</v>
      </c>
      <c r="L20" s="213" t="s">
        <v>122</v>
      </c>
      <c r="M20" s="73"/>
      <c r="O20" s="120"/>
      <c r="P20" s="69">
        <f t="shared" si="0"/>
        <v>2022</v>
      </c>
      <c r="Q20" s="130">
        <f t="shared" si="1"/>
        <v>116601.11180303116</v>
      </c>
      <c r="R20" s="213" t="s">
        <v>122</v>
      </c>
      <c r="S20" s="119"/>
      <c r="AE20" s="17"/>
    </row>
    <row r="21" spans="3:31" x14ac:dyDescent="0.25">
      <c r="C21" s="72"/>
      <c r="D21" s="54">
        <v>2023</v>
      </c>
      <c r="E21" s="130">
        <f>_xlfn.FORECAST.ETS($D21,E$11:E20,$D$11:$D20)</f>
        <v>25249.548277712413</v>
      </c>
      <c r="F21" s="213" t="s">
        <v>122</v>
      </c>
      <c r="G21" s="119"/>
      <c r="I21" s="120"/>
      <c r="J21" s="69">
        <v>2023</v>
      </c>
      <c r="K21" s="130">
        <f>_xlfn.FORECAST.ETS($J21,K$11:K20,$J$11:$J20)</f>
        <v>103094.76904026946</v>
      </c>
      <c r="L21" s="213" t="s">
        <v>122</v>
      </c>
      <c r="M21" s="73"/>
      <c r="O21" s="120"/>
      <c r="P21" s="69">
        <f t="shared" si="0"/>
        <v>2023</v>
      </c>
      <c r="Q21" s="130">
        <f t="shared" si="1"/>
        <v>128344.31731798187</v>
      </c>
      <c r="R21" s="213" t="s">
        <v>122</v>
      </c>
      <c r="S21" s="119"/>
      <c r="AE21" s="17"/>
    </row>
    <row r="22" spans="3:31" x14ac:dyDescent="0.25">
      <c r="C22" s="72"/>
      <c r="D22" s="54">
        <v>2024</v>
      </c>
      <c r="E22" s="130">
        <f>_xlfn.FORECAST.ETS($D22,E$11:E21,$D$11:$D21)</f>
        <v>27443.035483975033</v>
      </c>
      <c r="F22" s="213" t="s">
        <v>122</v>
      </c>
      <c r="G22" s="119"/>
      <c r="I22" s="120"/>
      <c r="J22" s="69">
        <v>2024</v>
      </c>
      <c r="K22" s="130">
        <f>_xlfn.FORECAST.ETS($J22,K$11:K21,$J$11:$J21)</f>
        <v>112538.86894425028</v>
      </c>
      <c r="L22" s="213" t="s">
        <v>122</v>
      </c>
      <c r="M22" s="73"/>
      <c r="O22" s="120"/>
      <c r="P22" s="69">
        <f t="shared" si="0"/>
        <v>2024</v>
      </c>
      <c r="Q22" s="130">
        <f t="shared" si="1"/>
        <v>139981.9044282253</v>
      </c>
      <c r="R22" s="213" t="s">
        <v>122</v>
      </c>
      <c r="S22" s="119"/>
      <c r="AE22" s="17"/>
    </row>
    <row r="23" spans="3:31" x14ac:dyDescent="0.25">
      <c r="C23" s="72"/>
      <c r="D23" s="54">
        <v>2025</v>
      </c>
      <c r="E23" s="130">
        <f>_xlfn.FORECAST.ETS($D23,E$11:E22,$D$11:$D22)</f>
        <v>29730.049865116343</v>
      </c>
      <c r="F23" s="213" t="s">
        <v>122</v>
      </c>
      <c r="G23" s="119"/>
      <c r="I23" s="120"/>
      <c r="J23" s="69">
        <v>2025</v>
      </c>
      <c r="K23" s="130">
        <f>_xlfn.FORECAST.ETS($J23,K$11:K22,$J$11:$J22)</f>
        <v>121984.83850201326</v>
      </c>
      <c r="L23" s="213" t="s">
        <v>122</v>
      </c>
      <c r="M23" s="73"/>
      <c r="O23" s="120"/>
      <c r="P23" s="69">
        <f t="shared" si="0"/>
        <v>2025</v>
      </c>
      <c r="Q23" s="130">
        <f t="shared" si="1"/>
        <v>151714.88836712961</v>
      </c>
      <c r="R23" s="213" t="s">
        <v>122</v>
      </c>
      <c r="S23" s="119"/>
    </row>
    <row r="24" spans="3:31" x14ac:dyDescent="0.25">
      <c r="C24" s="72"/>
      <c r="D24" s="54">
        <v>2026</v>
      </c>
      <c r="E24" s="130">
        <f>_xlfn.FORECAST.ETS($D24,E$11:E23,$D$11:$D23)</f>
        <v>31952.228106163748</v>
      </c>
      <c r="F24" s="213" t="s">
        <v>122</v>
      </c>
      <c r="G24" s="119"/>
      <c r="I24" s="120"/>
      <c r="J24" s="69">
        <v>2026</v>
      </c>
      <c r="K24" s="130">
        <f>_xlfn.FORECAST.ETS($J24,K$11:K23,$J$11:$J23)</f>
        <v>131432.06298062307</v>
      </c>
      <c r="L24" s="213" t="s">
        <v>122</v>
      </c>
      <c r="M24" s="73"/>
      <c r="O24" s="120"/>
      <c r="P24" s="69">
        <f t="shared" si="0"/>
        <v>2026</v>
      </c>
      <c r="Q24" s="130">
        <f t="shared" si="1"/>
        <v>163384.29108678683</v>
      </c>
      <c r="R24" s="213" t="s">
        <v>122</v>
      </c>
      <c r="S24" s="119"/>
    </row>
    <row r="25" spans="3:31" x14ac:dyDescent="0.25">
      <c r="C25" s="72"/>
      <c r="D25" s="54">
        <v>2027</v>
      </c>
      <c r="E25" s="130">
        <f>_xlfn.FORECAST.ETS($D25,E$11:E24,$D$11:$D24)</f>
        <v>34175.018206566798</v>
      </c>
      <c r="F25" s="213" t="s">
        <v>122</v>
      </c>
      <c r="G25" s="119"/>
      <c r="I25" s="120"/>
      <c r="J25" s="69">
        <v>2027</v>
      </c>
      <c r="K25" s="130">
        <f>_xlfn.FORECAST.ETS($J25,K$11:K24,$J$11:$J24)</f>
        <v>140880.15996180612</v>
      </c>
      <c r="L25" s="213" t="s">
        <v>122</v>
      </c>
      <c r="M25" s="73"/>
      <c r="O25" s="120"/>
      <c r="P25" s="69">
        <f t="shared" si="0"/>
        <v>2027</v>
      </c>
      <c r="Q25" s="130">
        <f t="shared" si="1"/>
        <v>175055.17816837292</v>
      </c>
      <c r="R25" s="213" t="s">
        <v>122</v>
      </c>
      <c r="S25" s="119"/>
    </row>
    <row r="26" spans="3:31" x14ac:dyDescent="0.25">
      <c r="C26" s="72"/>
      <c r="D26" s="54">
        <v>2028</v>
      </c>
      <c r="E26" s="130">
        <f>_xlfn.FORECAST.ETS($D26,E$11:E25,$D$11:$D25)</f>
        <v>36398.245259325144</v>
      </c>
      <c r="F26" s="213" t="s">
        <v>122</v>
      </c>
      <c r="G26" s="119"/>
      <c r="I26" s="120"/>
      <c r="J26" s="69">
        <v>2028</v>
      </c>
      <c r="K26" s="130">
        <f>_xlfn.FORECAST.ETS($J26,K$11:K25,$J$11:$J25)</f>
        <v>150328.89092828211</v>
      </c>
      <c r="L26" s="213" t="s">
        <v>122</v>
      </c>
      <c r="M26" s="73"/>
      <c r="O26" s="120"/>
      <c r="P26" s="69">
        <f t="shared" si="0"/>
        <v>2028</v>
      </c>
      <c r="Q26" s="130">
        <f t="shared" si="1"/>
        <v>186727.13618760725</v>
      </c>
      <c r="R26" s="213" t="s">
        <v>122</v>
      </c>
      <c r="S26" s="119"/>
    </row>
    <row r="27" spans="3:31" x14ac:dyDescent="0.25">
      <c r="C27" s="72"/>
      <c r="D27" s="54">
        <v>2029</v>
      </c>
      <c r="E27" s="130">
        <f>_xlfn.FORECAST.ETS($D27,E$11:E26,$D$11:$D26)</f>
        <v>38621.800090186473</v>
      </c>
      <c r="F27" s="213" t="s">
        <v>122</v>
      </c>
      <c r="G27" s="119"/>
      <c r="I27" s="120"/>
      <c r="J27" s="69">
        <v>2029</v>
      </c>
      <c r="K27" s="130">
        <f>_xlfn.FORECAST.ETS($J27,K$11:K26,$J$11:$J26)</f>
        <v>159778.10604376753</v>
      </c>
      <c r="L27" s="213" t="s">
        <v>122</v>
      </c>
      <c r="M27" s="73"/>
      <c r="O27" s="120"/>
      <c r="P27" s="69">
        <f t="shared" si="0"/>
        <v>2029</v>
      </c>
      <c r="Q27" s="130">
        <f t="shared" si="1"/>
        <v>198399.90613395401</v>
      </c>
      <c r="R27" s="213" t="s">
        <v>122</v>
      </c>
      <c r="S27" s="119"/>
    </row>
    <row r="28" spans="3:31" x14ac:dyDescent="0.25">
      <c r="C28" s="72"/>
      <c r="D28" s="54">
        <v>2030</v>
      </c>
      <c r="E28" s="130">
        <f>_xlfn.FORECAST.ETS($D28,E$11:E27,$D$11:$D27)</f>
        <v>40845.613929216393</v>
      </c>
      <c r="F28" s="213" t="s">
        <v>122</v>
      </c>
      <c r="G28" s="119"/>
      <c r="I28" s="120"/>
      <c r="J28" s="69">
        <v>2030</v>
      </c>
      <c r="K28" s="130">
        <f>_xlfn.FORECAST.ETS($J28,K$11:K27,$J$11:$J27)</f>
        <v>169227.71007104905</v>
      </c>
      <c r="L28" s="213" t="s">
        <v>122</v>
      </c>
      <c r="M28" s="73"/>
      <c r="O28" s="120"/>
      <c r="P28" s="69">
        <f t="shared" si="0"/>
        <v>2030</v>
      </c>
      <c r="Q28" s="130">
        <f t="shared" si="1"/>
        <v>210073.32400026545</v>
      </c>
      <c r="R28" s="213" t="s">
        <v>122</v>
      </c>
      <c r="S28" s="119"/>
    </row>
    <row r="29" spans="3:31" ht="15.75" thickBot="1" x14ac:dyDescent="0.3">
      <c r="C29" s="77"/>
      <c r="D29" s="78"/>
      <c r="E29" s="78"/>
      <c r="F29" s="78"/>
      <c r="G29" s="79"/>
      <c r="I29" s="77"/>
      <c r="J29" s="78"/>
      <c r="K29" s="78"/>
      <c r="L29" s="78"/>
      <c r="M29" s="79"/>
      <c r="O29" s="77"/>
      <c r="P29" s="78"/>
      <c r="Q29" s="78"/>
      <c r="R29" s="78"/>
      <c r="S29" s="79"/>
    </row>
    <row r="30" spans="3:31" x14ac:dyDescent="0.25">
      <c r="AE30" s="17"/>
    </row>
    <row r="31" spans="3:31" x14ac:dyDescent="0.25">
      <c r="AE31" s="17"/>
    </row>
    <row r="32" spans="3:31" x14ac:dyDescent="0.25">
      <c r="AE32" s="17"/>
    </row>
    <row r="33" spans="31:31" x14ac:dyDescent="0.25">
      <c r="AE33" s="17"/>
    </row>
    <row r="34" spans="31:31" x14ac:dyDescent="0.25">
      <c r="AE34" s="17"/>
    </row>
    <row r="35" spans="31:31" x14ac:dyDescent="0.25">
      <c r="AE35" s="17"/>
    </row>
    <row r="36" spans="31:31" x14ac:dyDescent="0.25">
      <c r="AE36" s="17"/>
    </row>
    <row r="37" spans="31:31" x14ac:dyDescent="0.25">
      <c r="AE37" s="17"/>
    </row>
    <row r="38" spans="31:31" x14ac:dyDescent="0.25">
      <c r="AE38" s="17"/>
    </row>
    <row r="39" spans="31:31" x14ac:dyDescent="0.25">
      <c r="AE39" s="17"/>
    </row>
    <row r="40" spans="31:31" x14ac:dyDescent="0.25">
      <c r="AE40" s="17"/>
    </row>
    <row r="41" spans="31:31" x14ac:dyDescent="0.25">
      <c r="AE41" s="17"/>
    </row>
    <row r="42" spans="31:31" x14ac:dyDescent="0.25">
      <c r="AE42" s="17"/>
    </row>
    <row r="43" spans="31:31" x14ac:dyDescent="0.25">
      <c r="AE43" s="17"/>
    </row>
    <row r="44" spans="31:31" x14ac:dyDescent="0.25">
      <c r="AE44" s="17"/>
    </row>
    <row r="45" spans="31:31" x14ac:dyDescent="0.25">
      <c r="AE45" s="17"/>
    </row>
    <row r="46" spans="31:31" x14ac:dyDescent="0.25">
      <c r="AE46" s="17"/>
    </row>
    <row r="47" spans="31:31" x14ac:dyDescent="0.25">
      <c r="AE47" s="17"/>
    </row>
    <row r="48" spans="31:31" x14ac:dyDescent="0.25">
      <c r="AE48" s="17"/>
    </row>
    <row r="49" spans="31:31" x14ac:dyDescent="0.25">
      <c r="AE49" s="17"/>
    </row>
  </sheetData>
  <sheetProtection sheet="1" objects="1" scenarios="1"/>
  <mergeCells count="5">
    <mergeCell ref="Z8:AA8"/>
    <mergeCell ref="V8:X8"/>
    <mergeCell ref="C8:G8"/>
    <mergeCell ref="I8:M8"/>
    <mergeCell ref="O8:S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99E41-3F87-49BB-B55B-F8D528FBD79F}">
  <sheetPr codeName="Sheet10"/>
  <dimension ref="B1:AH1010"/>
  <sheetViews>
    <sheetView showGridLines="0" topLeftCell="L975" zoomScale="80" zoomScaleNormal="80" workbookViewId="0">
      <selection activeCell="AE4" sqref="AE4"/>
    </sheetView>
  </sheetViews>
  <sheetFormatPr defaultColWidth="8.85546875" defaultRowHeight="15" x14ac:dyDescent="0.25"/>
  <cols>
    <col min="1" max="1" width="1.7109375" style="17" customWidth="1"/>
    <col min="2" max="2" width="8.85546875" style="17"/>
    <col min="3" max="3" width="4" style="17" customWidth="1"/>
    <col min="4" max="4" width="11" style="17" bestFit="1" customWidth="1"/>
    <col min="5" max="5" width="24.5703125" style="17" bestFit="1" customWidth="1"/>
    <col min="6" max="6" width="15.5703125" style="17" bestFit="1" customWidth="1"/>
    <col min="7" max="8" width="17.28515625" style="17" bestFit="1" customWidth="1"/>
    <col min="9" max="9" width="11.5703125" style="17" customWidth="1"/>
    <col min="10" max="10" width="8.28515625" style="17" hidden="1" customWidth="1"/>
    <col min="11" max="11" width="4.28515625" style="17" customWidth="1"/>
    <col min="12" max="12" width="9.5703125" style="17" bestFit="1" customWidth="1"/>
    <col min="13" max="13" width="3.7109375" style="17" customWidth="1"/>
    <col min="14" max="14" width="11" style="17" bestFit="1" customWidth="1"/>
    <col min="15" max="15" width="24.5703125" style="17" bestFit="1" customWidth="1"/>
    <col min="16" max="16" width="10.28515625" style="17" bestFit="1" customWidth="1"/>
    <col min="17" max="17" width="17.28515625" style="17" bestFit="1" customWidth="1"/>
    <col min="18" max="18" width="18" style="17" bestFit="1" customWidth="1"/>
    <col min="19" max="19" width="12.28515625" style="17" bestFit="1" customWidth="1"/>
    <col min="20" max="20" width="23.42578125" style="17" bestFit="1" customWidth="1"/>
    <col min="21" max="21" width="31.28515625" style="17" hidden="1" customWidth="1"/>
    <col min="22" max="22" width="3.7109375" style="17" customWidth="1"/>
    <col min="23" max="23" width="4.7109375" style="17" customWidth="1"/>
    <col min="24" max="24" width="4.28515625" style="17" customWidth="1"/>
    <col min="25" max="25" width="11.28515625" style="17" bestFit="1" customWidth="1"/>
    <col min="26" max="26" width="24.5703125" style="17" bestFit="1" customWidth="1"/>
    <col min="27" max="27" width="10.28515625" style="17" bestFit="1" customWidth="1"/>
    <col min="28" max="28" width="15.7109375" style="17" bestFit="1" customWidth="1"/>
    <col min="29" max="29" width="17.28515625" style="17" bestFit="1" customWidth="1"/>
    <col min="30" max="30" width="18" style="17" bestFit="1" customWidth="1"/>
    <col min="31" max="31" width="16.28515625" style="17" bestFit="1" customWidth="1"/>
    <col min="32" max="32" width="15.7109375" style="17" bestFit="1" customWidth="1"/>
    <col min="33" max="33" width="23.42578125" style="17" bestFit="1" customWidth="1"/>
    <col min="34" max="34" width="3.7109375" style="17" customWidth="1"/>
    <col min="35" max="16384" width="8.85546875" style="17"/>
  </cols>
  <sheetData>
    <row r="1" spans="2:34" ht="7.9" customHeight="1" x14ac:dyDescent="0.25"/>
    <row r="2" spans="2:34" ht="32.25" thickBot="1" x14ac:dyDescent="0.55000000000000004">
      <c r="B2" s="332" t="s">
        <v>123</v>
      </c>
      <c r="C2" s="332"/>
      <c r="D2" s="332"/>
      <c r="E2" s="332"/>
      <c r="F2" s="332"/>
      <c r="G2" s="332"/>
      <c r="H2" s="332"/>
      <c r="I2" s="332"/>
      <c r="J2" s="332"/>
      <c r="K2" s="332"/>
      <c r="L2" s="332"/>
      <c r="M2" s="332"/>
      <c r="N2" s="332"/>
      <c r="O2" s="332"/>
      <c r="P2" s="332"/>
      <c r="Q2" s="332"/>
      <c r="R2" s="332"/>
    </row>
    <row r="3" spans="2:34" ht="6.6" customHeight="1" thickTop="1" x14ac:dyDescent="0.3">
      <c r="B3" s="18"/>
      <c r="C3" s="18"/>
      <c r="D3" s="18"/>
      <c r="E3" s="18"/>
      <c r="F3" s="18"/>
      <c r="G3" s="18"/>
      <c r="H3" s="18"/>
      <c r="I3" s="18"/>
      <c r="J3" s="18"/>
      <c r="K3" s="18"/>
      <c r="L3" s="18"/>
      <c r="M3" s="18"/>
      <c r="N3" s="18"/>
      <c r="O3" s="18"/>
      <c r="P3" s="18"/>
      <c r="Q3" s="18"/>
      <c r="R3" s="18"/>
      <c r="S3" s="18"/>
      <c r="T3" s="18"/>
      <c r="U3" s="18"/>
      <c r="V3" s="18"/>
    </row>
    <row r="5" spans="2:34" ht="15.75" thickBot="1" x14ac:dyDescent="0.3"/>
    <row r="6" spans="2:34" ht="20.25" thickBot="1" x14ac:dyDescent="0.35">
      <c r="C6" s="230" t="s">
        <v>99</v>
      </c>
      <c r="D6" s="231"/>
      <c r="E6" s="231"/>
      <c r="F6" s="231"/>
      <c r="G6" s="231"/>
      <c r="H6" s="231"/>
      <c r="I6" s="231"/>
      <c r="J6" s="231"/>
      <c r="K6" s="231"/>
      <c r="L6" s="71"/>
      <c r="M6" s="230" t="s">
        <v>100</v>
      </c>
      <c r="N6" s="231"/>
      <c r="O6" s="231"/>
      <c r="P6" s="231"/>
      <c r="Q6" s="231"/>
      <c r="R6" s="231"/>
      <c r="S6" s="231"/>
      <c r="T6" s="231"/>
      <c r="U6" s="231"/>
      <c r="V6" s="231"/>
      <c r="W6" s="71"/>
      <c r="X6" s="230" t="s">
        <v>101</v>
      </c>
      <c r="Y6" s="231"/>
      <c r="Z6" s="231"/>
      <c r="AA6" s="231"/>
      <c r="AB6" s="231"/>
      <c r="AC6" s="231"/>
      <c r="AD6" s="231"/>
      <c r="AE6" s="231"/>
      <c r="AF6" s="231"/>
      <c r="AG6" s="231"/>
      <c r="AH6" s="234"/>
    </row>
    <row r="7" spans="2:34" ht="15.75" thickTop="1" x14ac:dyDescent="0.25">
      <c r="C7" s="72"/>
      <c r="D7" s="5"/>
      <c r="E7" s="54"/>
      <c r="F7" s="54"/>
      <c r="G7" s="54"/>
      <c r="H7" s="54"/>
      <c r="I7" s="54"/>
      <c r="J7" s="54"/>
      <c r="K7" s="73"/>
      <c r="M7" s="72"/>
      <c r="N7" s="5"/>
      <c r="O7" s="54"/>
      <c r="P7" s="54"/>
      <c r="Q7" s="54"/>
      <c r="R7" s="54"/>
      <c r="S7" s="54"/>
      <c r="T7" s="54"/>
      <c r="U7" s="54"/>
      <c r="V7" s="73"/>
      <c r="X7" s="30"/>
      <c r="Y7" s="5"/>
      <c r="Z7" s="54"/>
      <c r="AA7" s="54"/>
      <c r="AB7" s="54"/>
      <c r="AC7" s="54"/>
      <c r="AD7" s="54"/>
      <c r="AE7" s="54"/>
      <c r="AF7" s="54"/>
      <c r="AG7" s="54"/>
      <c r="AH7" s="31"/>
    </row>
    <row r="8" spans="2:34" ht="16.5" thickBot="1" x14ac:dyDescent="0.3">
      <c r="C8" s="72"/>
      <c r="D8" s="74" t="s">
        <v>124</v>
      </c>
      <c r="E8" s="68" t="s">
        <v>53</v>
      </c>
      <c r="F8" s="68" t="s">
        <v>125</v>
      </c>
      <c r="G8" s="68" t="s">
        <v>126</v>
      </c>
      <c r="H8" s="68" t="s">
        <v>40</v>
      </c>
      <c r="I8" s="68" t="s">
        <v>127</v>
      </c>
      <c r="J8" s="68"/>
      <c r="K8" s="73"/>
      <c r="M8" s="72"/>
      <c r="N8" s="74" t="s">
        <v>124</v>
      </c>
      <c r="O8" s="68" t="s">
        <v>53</v>
      </c>
      <c r="P8" s="68" t="s">
        <v>128</v>
      </c>
      <c r="Q8" s="68" t="s">
        <v>126</v>
      </c>
      <c r="R8" s="68" t="s">
        <v>40</v>
      </c>
      <c r="S8" s="68" t="s">
        <v>127</v>
      </c>
      <c r="T8" s="68" t="s">
        <v>129</v>
      </c>
      <c r="U8" s="68"/>
      <c r="V8" s="73"/>
      <c r="X8" s="30"/>
      <c r="Y8" s="74" t="s">
        <v>124</v>
      </c>
      <c r="Z8" s="68" t="s">
        <v>53</v>
      </c>
      <c r="AA8" s="68" t="s">
        <v>128</v>
      </c>
      <c r="AB8" s="68" t="s">
        <v>39</v>
      </c>
      <c r="AC8" s="68" t="s">
        <v>126</v>
      </c>
      <c r="AD8" s="68" t="s">
        <v>40</v>
      </c>
      <c r="AE8" s="68" t="s">
        <v>127</v>
      </c>
      <c r="AF8" s="68" t="s">
        <v>130</v>
      </c>
      <c r="AG8" s="68" t="s">
        <v>129</v>
      </c>
      <c r="AH8" s="31"/>
    </row>
    <row r="9" spans="2:34" ht="15.75" thickTop="1" x14ac:dyDescent="0.25">
      <c r="C9" s="72"/>
      <c r="D9" s="6"/>
      <c r="E9" s="1">
        <f ca="1">'Compostable Cup Scenario'!T9</f>
        <v>44493.59</v>
      </c>
      <c r="F9" s="2">
        <f ca="1">'Compostable Cup Scenario'!L11</f>
        <v>5495</v>
      </c>
      <c r="G9" s="2">
        <f ca="1">'Compostable Cup Scenario'!L12</f>
        <v>88521</v>
      </c>
      <c r="H9" s="193">
        <f ca="1">'Compostable Cup Scenario'!O11</f>
        <v>329056</v>
      </c>
      <c r="I9" s="193">
        <f ca="1">'Compostable Cup Scenario'!L18</f>
        <v>12341.76</v>
      </c>
      <c r="J9" s="75">
        <f>'Compostable Cup Scenario'!L7</f>
        <v>81753.173721494197</v>
      </c>
      <c r="K9" s="73"/>
      <c r="M9" s="72"/>
      <c r="N9" s="6"/>
      <c r="O9" s="1">
        <f ca="1">'Reusable Mug Scenario'!T9</f>
        <v>49263.46249999998</v>
      </c>
      <c r="P9" s="2">
        <f ca="1">'Reusable Mug Scenario'!L11</f>
        <v>12015</v>
      </c>
      <c r="Q9" s="2">
        <f ca="1">'Reusable Mug Scenario'!L12</f>
        <v>82001</v>
      </c>
      <c r="R9" s="193">
        <f ca="1">'Reusable Mug Scenario'!O14</f>
        <v>327584.16249999998</v>
      </c>
      <c r="S9" s="193">
        <f ca="1">'Reusable Mug Scenario'!L18</f>
        <v>6100.05</v>
      </c>
      <c r="T9" s="1">
        <f ca="1">'Reusable Mug Scenario'!O8</f>
        <v>1471.8375000000005</v>
      </c>
      <c r="U9" s="80">
        <f>'Reusable Mug Scenario'!L7</f>
        <v>81753.173721494197</v>
      </c>
      <c r="V9" s="73"/>
      <c r="X9" s="30"/>
      <c r="Y9" s="6"/>
      <c r="Z9" s="1">
        <f ca="1">'Combined Scenario'!T9</f>
        <v>45250.150000000009</v>
      </c>
      <c r="AA9" s="2">
        <f ca="1">'Combined Scenario'!L11</f>
        <v>12948</v>
      </c>
      <c r="AB9" s="2">
        <f ca="1">'Combined Scenario'!O18</f>
        <v>6485.4400000000005</v>
      </c>
      <c r="AC9" s="2">
        <f ca="1">'Combined Scenario'!O9</f>
        <v>74582.559999999998</v>
      </c>
      <c r="AD9" s="193">
        <f ca="1">'Combined Scenario'!O14</f>
        <v>324524.2</v>
      </c>
      <c r="AE9" s="193">
        <f ca="1">'Combined Scenario'!L18</f>
        <v>7053.4</v>
      </c>
      <c r="AF9" s="4">
        <f ca="1">'Combined Scenario'!O17</f>
        <v>0.08</v>
      </c>
      <c r="AG9" s="1">
        <f ca="1">'Combined Scenario'!O7</f>
        <v>4531.8000000000011</v>
      </c>
      <c r="AH9" s="31"/>
    </row>
    <row r="10" spans="2:34" x14ac:dyDescent="0.25">
      <c r="C10" s="72"/>
      <c r="D10" s="54">
        <v>1</v>
      </c>
      <c r="E10" s="70">
        <f t="dataTable" ref="E10:J1009" dt2D="0" dtr="0" r1="D7" ca="1"/>
        <v>58351.91</v>
      </c>
      <c r="F10" s="75">
        <v>9607</v>
      </c>
      <c r="G10" s="75">
        <v>88497</v>
      </c>
      <c r="H10" s="194">
        <v>343364</v>
      </c>
      <c r="I10" s="194">
        <v>12791.44</v>
      </c>
      <c r="J10" s="75">
        <v>81753.173721494197</v>
      </c>
      <c r="K10" s="73"/>
      <c r="M10" s="72"/>
      <c r="N10" s="54">
        <v>1</v>
      </c>
      <c r="O10" s="70">
        <f t="dataTable" ref="O10:U1009" dt2D="0" dtr="0" r1="N7" ca="1"/>
        <v>91581.469999999987</v>
      </c>
      <c r="P10" s="75">
        <v>11868</v>
      </c>
      <c r="Q10" s="75">
        <v>94411</v>
      </c>
      <c r="R10" s="194">
        <v>370522.67</v>
      </c>
      <c r="S10" s="194">
        <v>6720.55</v>
      </c>
      <c r="T10" s="70">
        <v>1453.8300000000006</v>
      </c>
      <c r="U10" s="80">
        <v>81753.173721494197</v>
      </c>
      <c r="V10" s="73"/>
      <c r="X10" s="30"/>
      <c r="Y10" s="54">
        <v>1</v>
      </c>
      <c r="Z10" s="70">
        <f t="dataTable" ref="Z10:AG1009" dt2D="0" dtr="0" r1="Y7" ca="1"/>
        <v>87613.9</v>
      </c>
      <c r="AA10" s="75">
        <v>12760</v>
      </c>
      <c r="AB10" s="75">
        <v>7481.52</v>
      </c>
      <c r="AC10" s="75">
        <v>86037.48</v>
      </c>
      <c r="AD10" s="194">
        <v>367510.5</v>
      </c>
      <c r="AE10" s="194">
        <v>7675.95</v>
      </c>
      <c r="AF10" s="76">
        <v>0.08</v>
      </c>
      <c r="AG10" s="70">
        <v>4466.0000000000009</v>
      </c>
      <c r="AH10" s="31"/>
    </row>
    <row r="11" spans="2:34" x14ac:dyDescent="0.25">
      <c r="C11" s="72"/>
      <c r="D11" s="54">
        <v>2</v>
      </c>
      <c r="E11" s="70">
        <v>30635.27</v>
      </c>
      <c r="F11" s="75">
        <v>4481</v>
      </c>
      <c r="G11" s="75">
        <v>85447</v>
      </c>
      <c r="H11" s="194">
        <v>314748</v>
      </c>
      <c r="I11" s="194">
        <v>11892.08</v>
      </c>
      <c r="J11" s="75">
        <v>81753.173721494197</v>
      </c>
      <c r="K11" s="73"/>
      <c r="M11" s="72"/>
      <c r="N11" s="54">
        <v>2</v>
      </c>
      <c r="O11" s="70">
        <v>35383.017500000031</v>
      </c>
      <c r="P11" s="75">
        <v>8937</v>
      </c>
      <c r="Q11" s="75">
        <v>80991</v>
      </c>
      <c r="R11" s="194">
        <v>313653.21750000003</v>
      </c>
      <c r="S11" s="194">
        <v>6049.55</v>
      </c>
      <c r="T11" s="70">
        <v>1094.7825000000005</v>
      </c>
      <c r="U11" s="80">
        <v>81753.173721494197</v>
      </c>
      <c r="V11" s="73"/>
      <c r="X11" s="30"/>
      <c r="Y11" s="54">
        <v>2</v>
      </c>
      <c r="Z11" s="70">
        <v>44876.05</v>
      </c>
      <c r="AA11" s="75">
        <v>14195</v>
      </c>
      <c r="AB11" s="75">
        <v>5587.47</v>
      </c>
      <c r="AC11" s="75">
        <v>74233.53</v>
      </c>
      <c r="AD11" s="194">
        <v>324087.75</v>
      </c>
      <c r="AE11" s="194">
        <v>6991.05</v>
      </c>
      <c r="AF11" s="76">
        <v>7.0000000000000007E-2</v>
      </c>
      <c r="AG11" s="70">
        <v>4968.2500000000009</v>
      </c>
      <c r="AH11" s="31"/>
    </row>
    <row r="12" spans="2:34" x14ac:dyDescent="0.25">
      <c r="C12" s="72"/>
      <c r="D12" s="54">
        <v>3</v>
      </c>
      <c r="E12" s="70">
        <v>44493.59</v>
      </c>
      <c r="F12" s="75">
        <v>7418</v>
      </c>
      <c r="G12" s="75">
        <v>86598</v>
      </c>
      <c r="H12" s="194">
        <v>329056</v>
      </c>
      <c r="I12" s="194">
        <v>12341.76</v>
      </c>
      <c r="J12" s="75">
        <v>81753.173721494197</v>
      </c>
      <c r="K12" s="73"/>
      <c r="M12" s="72"/>
      <c r="N12" s="54">
        <v>3</v>
      </c>
      <c r="O12" s="70">
        <v>49322.115000000013</v>
      </c>
      <c r="P12" s="75">
        <v>11206</v>
      </c>
      <c r="Q12" s="75">
        <v>82810</v>
      </c>
      <c r="R12" s="194">
        <v>327683.26500000001</v>
      </c>
      <c r="S12" s="194">
        <v>6140.5</v>
      </c>
      <c r="T12" s="70">
        <v>1372.7350000000006</v>
      </c>
      <c r="U12" s="80">
        <v>81753.173721494197</v>
      </c>
      <c r="V12" s="73"/>
      <c r="X12" s="30"/>
      <c r="Y12" s="54">
        <v>3</v>
      </c>
      <c r="Z12" s="70">
        <v>87289.299999999988</v>
      </c>
      <c r="AA12" s="75">
        <v>13842</v>
      </c>
      <c r="AB12" s="75">
        <v>4621.8500000000004</v>
      </c>
      <c r="AC12" s="75">
        <v>87815.15</v>
      </c>
      <c r="AD12" s="194">
        <v>367131.8</v>
      </c>
      <c r="AE12" s="194">
        <v>7621.85</v>
      </c>
      <c r="AF12" s="76">
        <v>0.05</v>
      </c>
      <c r="AG12" s="70">
        <v>4844.7000000000016</v>
      </c>
      <c r="AH12" s="31"/>
    </row>
    <row r="13" spans="2:34" x14ac:dyDescent="0.25">
      <c r="C13" s="72"/>
      <c r="D13" s="54">
        <v>4</v>
      </c>
      <c r="E13" s="70">
        <v>58351.91</v>
      </c>
      <c r="F13" s="75">
        <v>6963</v>
      </c>
      <c r="G13" s="75">
        <v>91141</v>
      </c>
      <c r="H13" s="194">
        <v>343364</v>
      </c>
      <c r="I13" s="194">
        <v>12791.44</v>
      </c>
      <c r="J13" s="75">
        <v>81753.173721494197</v>
      </c>
      <c r="K13" s="73"/>
      <c r="M13" s="72"/>
      <c r="N13" s="54">
        <v>4</v>
      </c>
      <c r="O13" s="70">
        <v>49105.412499999991</v>
      </c>
      <c r="P13" s="75">
        <v>14195</v>
      </c>
      <c r="Q13" s="75">
        <v>79821</v>
      </c>
      <c r="R13" s="194">
        <v>327317.11249999999</v>
      </c>
      <c r="S13" s="194">
        <v>5991.05</v>
      </c>
      <c r="T13" s="70">
        <v>1738.8875000000007</v>
      </c>
      <c r="U13" s="80">
        <v>81753.173721494197</v>
      </c>
      <c r="V13" s="73"/>
      <c r="X13" s="30"/>
      <c r="Y13" s="54">
        <v>4</v>
      </c>
      <c r="Z13" s="70">
        <v>58829.65</v>
      </c>
      <c r="AA13" s="75">
        <v>14695</v>
      </c>
      <c r="AB13" s="75">
        <v>7506.8099999999995</v>
      </c>
      <c r="AC13" s="75">
        <v>75902.19</v>
      </c>
      <c r="AD13" s="194">
        <v>338220.75</v>
      </c>
      <c r="AE13" s="194">
        <v>7170.45</v>
      </c>
      <c r="AF13" s="76">
        <v>0.09</v>
      </c>
      <c r="AG13" s="70">
        <v>5143.2500000000009</v>
      </c>
      <c r="AH13" s="31"/>
    </row>
    <row r="14" spans="2:34" x14ac:dyDescent="0.25">
      <c r="C14" s="72"/>
      <c r="D14" s="54">
        <v>5</v>
      </c>
      <c r="E14" s="70">
        <v>30635.27</v>
      </c>
      <c r="F14" s="75">
        <v>9028</v>
      </c>
      <c r="G14" s="75">
        <v>80900</v>
      </c>
      <c r="H14" s="194">
        <v>314748</v>
      </c>
      <c r="I14" s="194">
        <v>11892.08</v>
      </c>
      <c r="J14" s="75">
        <v>81753.173721494197</v>
      </c>
      <c r="K14" s="73"/>
      <c r="M14" s="72"/>
      <c r="N14" s="54">
        <v>5</v>
      </c>
      <c r="O14" s="70">
        <v>35171.897499999999</v>
      </c>
      <c r="P14" s="75">
        <v>11849</v>
      </c>
      <c r="Q14" s="75">
        <v>78079</v>
      </c>
      <c r="R14" s="194">
        <v>313296.4975</v>
      </c>
      <c r="S14" s="194">
        <v>5903.9500000000007</v>
      </c>
      <c r="T14" s="70">
        <v>1451.5025000000007</v>
      </c>
      <c r="U14" s="80">
        <v>81753.173721494197</v>
      </c>
      <c r="V14" s="73"/>
      <c r="X14" s="30"/>
      <c r="Y14" s="54">
        <v>5</v>
      </c>
      <c r="Z14" s="70">
        <v>59641.750000000015</v>
      </c>
      <c r="AA14" s="75">
        <v>11988</v>
      </c>
      <c r="AB14" s="75">
        <v>6889.28</v>
      </c>
      <c r="AC14" s="75">
        <v>79226.720000000001</v>
      </c>
      <c r="AD14" s="194">
        <v>339168.2</v>
      </c>
      <c r="AE14" s="194">
        <v>7305.8</v>
      </c>
      <c r="AF14" s="76">
        <v>0.08</v>
      </c>
      <c r="AG14" s="70">
        <v>4195.8000000000011</v>
      </c>
      <c r="AH14" s="31"/>
    </row>
    <row r="15" spans="2:34" x14ac:dyDescent="0.25">
      <c r="C15" s="72"/>
      <c r="D15" s="54">
        <v>6</v>
      </c>
      <c r="E15" s="70">
        <v>30635.27</v>
      </c>
      <c r="F15" s="75">
        <v>7334</v>
      </c>
      <c r="G15" s="75">
        <v>82594</v>
      </c>
      <c r="H15" s="194">
        <v>314748</v>
      </c>
      <c r="I15" s="194">
        <v>11892.08</v>
      </c>
      <c r="J15" s="75">
        <v>81753.173721494197</v>
      </c>
      <c r="K15" s="73"/>
      <c r="M15" s="72"/>
      <c r="N15" s="54">
        <v>6</v>
      </c>
      <c r="O15" s="70">
        <v>35132.384999999987</v>
      </c>
      <c r="P15" s="75">
        <v>12394</v>
      </c>
      <c r="Q15" s="75">
        <v>77534</v>
      </c>
      <c r="R15" s="194">
        <v>313229.73499999999</v>
      </c>
      <c r="S15" s="194">
        <v>5876.7000000000007</v>
      </c>
      <c r="T15" s="70">
        <v>1518.2650000000006</v>
      </c>
      <c r="U15" s="80">
        <v>81753.173721494197</v>
      </c>
      <c r="V15" s="73"/>
      <c r="X15" s="30"/>
      <c r="Y15" s="54">
        <v>6</v>
      </c>
      <c r="Z15" s="70">
        <v>59137.750000000015</v>
      </c>
      <c r="AA15" s="75">
        <v>13668</v>
      </c>
      <c r="AB15" s="75">
        <v>6754.88</v>
      </c>
      <c r="AC15" s="75">
        <v>77681.119999999995</v>
      </c>
      <c r="AD15" s="194">
        <v>338580.2</v>
      </c>
      <c r="AE15" s="194">
        <v>7221.8</v>
      </c>
      <c r="AF15" s="76">
        <v>0.08</v>
      </c>
      <c r="AG15" s="70">
        <v>4783.8000000000011</v>
      </c>
      <c r="AH15" s="31"/>
    </row>
    <row r="16" spans="2:34" x14ac:dyDescent="0.25">
      <c r="C16" s="72"/>
      <c r="D16" s="54">
        <v>7</v>
      </c>
      <c r="E16" s="70">
        <v>44493.59</v>
      </c>
      <c r="F16" s="75">
        <v>9445</v>
      </c>
      <c r="G16" s="75">
        <v>84571</v>
      </c>
      <c r="H16" s="194">
        <v>329056</v>
      </c>
      <c r="I16" s="194">
        <v>12341.76</v>
      </c>
      <c r="J16" s="75">
        <v>81753.173721494197</v>
      </c>
      <c r="K16" s="73"/>
      <c r="M16" s="72"/>
      <c r="N16" s="54">
        <v>7</v>
      </c>
      <c r="O16" s="70">
        <v>63382.722499999996</v>
      </c>
      <c r="P16" s="75">
        <v>11799</v>
      </c>
      <c r="Q16" s="75">
        <v>86305</v>
      </c>
      <c r="R16" s="194">
        <v>341918.6225</v>
      </c>
      <c r="S16" s="194">
        <v>6315.25</v>
      </c>
      <c r="T16" s="70">
        <v>1445.3775000000007</v>
      </c>
      <c r="U16" s="80">
        <v>81753.173721494197</v>
      </c>
      <c r="V16" s="73"/>
      <c r="X16" s="30"/>
      <c r="Y16" s="54">
        <v>7</v>
      </c>
      <c r="Z16" s="70">
        <v>58798.750000000015</v>
      </c>
      <c r="AA16" s="75">
        <v>14798</v>
      </c>
      <c r="AB16" s="75">
        <v>8330.6</v>
      </c>
      <c r="AC16" s="75">
        <v>74975.399999999994</v>
      </c>
      <c r="AD16" s="194">
        <v>338184.7</v>
      </c>
      <c r="AE16" s="194">
        <v>7165.3</v>
      </c>
      <c r="AF16" s="76">
        <v>0.1</v>
      </c>
      <c r="AG16" s="70">
        <v>5179.3000000000011</v>
      </c>
      <c r="AH16" s="31"/>
    </row>
    <row r="17" spans="3:34" x14ac:dyDescent="0.25">
      <c r="C17" s="72"/>
      <c r="D17" s="54">
        <v>8</v>
      </c>
      <c r="E17" s="70">
        <v>44493.59</v>
      </c>
      <c r="F17" s="75">
        <v>5686</v>
      </c>
      <c r="G17" s="75">
        <v>88330</v>
      </c>
      <c r="H17" s="194">
        <v>329056</v>
      </c>
      <c r="I17" s="194">
        <v>12341.76</v>
      </c>
      <c r="J17" s="75">
        <v>81753.173721494197</v>
      </c>
      <c r="K17" s="73"/>
      <c r="M17" s="72"/>
      <c r="N17" s="54">
        <v>8</v>
      </c>
      <c r="O17" s="70">
        <v>91441.472500000003</v>
      </c>
      <c r="P17" s="75">
        <v>13799</v>
      </c>
      <c r="Q17" s="75">
        <v>92480</v>
      </c>
      <c r="R17" s="194">
        <v>370286.1225</v>
      </c>
      <c r="S17" s="194">
        <v>6624</v>
      </c>
      <c r="T17" s="70">
        <v>1690.3775000000007</v>
      </c>
      <c r="U17" s="80">
        <v>81753.173721494197</v>
      </c>
      <c r="V17" s="73"/>
      <c r="X17" s="30"/>
      <c r="Y17" s="54">
        <v>8</v>
      </c>
      <c r="Z17" s="70">
        <v>31741.150000000023</v>
      </c>
      <c r="AA17" s="75">
        <v>10966</v>
      </c>
      <c r="AB17" s="75">
        <v>6316.96</v>
      </c>
      <c r="AC17" s="75">
        <v>72645.039999999994</v>
      </c>
      <c r="AD17" s="194">
        <v>310909.90000000002</v>
      </c>
      <c r="AE17" s="194">
        <v>6948.1</v>
      </c>
      <c r="AF17" s="76">
        <v>0.08</v>
      </c>
      <c r="AG17" s="70">
        <v>3838.1000000000008</v>
      </c>
      <c r="AH17" s="31"/>
    </row>
    <row r="18" spans="3:34" x14ac:dyDescent="0.25">
      <c r="C18" s="72"/>
      <c r="D18" s="54">
        <v>9</v>
      </c>
      <c r="E18" s="70">
        <v>58351.91</v>
      </c>
      <c r="F18" s="75">
        <v>5951</v>
      </c>
      <c r="G18" s="75">
        <v>92153</v>
      </c>
      <c r="H18" s="194">
        <v>343364</v>
      </c>
      <c r="I18" s="194">
        <v>12791.44</v>
      </c>
      <c r="J18" s="75">
        <v>81753.173721494197</v>
      </c>
      <c r="K18" s="73"/>
      <c r="M18" s="72"/>
      <c r="N18" s="54">
        <v>9</v>
      </c>
      <c r="O18" s="70">
        <v>91600.102499999964</v>
      </c>
      <c r="P18" s="75">
        <v>11611</v>
      </c>
      <c r="Q18" s="75">
        <v>94668</v>
      </c>
      <c r="R18" s="194">
        <v>370554.15249999997</v>
      </c>
      <c r="S18" s="194">
        <v>6733.4000000000005</v>
      </c>
      <c r="T18" s="70">
        <v>1422.3475000000005</v>
      </c>
      <c r="U18" s="80">
        <v>81753.173721494197</v>
      </c>
      <c r="V18" s="73"/>
      <c r="X18" s="30"/>
      <c r="Y18" s="54">
        <v>9</v>
      </c>
      <c r="Z18" s="70">
        <v>87955.299999999988</v>
      </c>
      <c r="AA18" s="75">
        <v>11622</v>
      </c>
      <c r="AB18" s="75">
        <v>8519.1299999999992</v>
      </c>
      <c r="AC18" s="75">
        <v>86137.87</v>
      </c>
      <c r="AD18" s="194">
        <v>367908.8</v>
      </c>
      <c r="AE18" s="194">
        <v>7732.85</v>
      </c>
      <c r="AF18" s="76">
        <v>0.09</v>
      </c>
      <c r="AG18" s="70">
        <v>4067.7000000000012</v>
      </c>
      <c r="AH18" s="31"/>
    </row>
    <row r="19" spans="3:34" x14ac:dyDescent="0.25">
      <c r="C19" s="72"/>
      <c r="D19" s="54">
        <v>10</v>
      </c>
      <c r="E19" s="70">
        <v>44493.59</v>
      </c>
      <c r="F19" s="75">
        <v>8399</v>
      </c>
      <c r="G19" s="75">
        <v>85617</v>
      </c>
      <c r="H19" s="194">
        <v>329056</v>
      </c>
      <c r="I19" s="194">
        <v>12341.76</v>
      </c>
      <c r="J19" s="75">
        <v>81753.173721494197</v>
      </c>
      <c r="K19" s="73"/>
      <c r="M19" s="72"/>
      <c r="N19" s="54">
        <v>10</v>
      </c>
      <c r="O19" s="70">
        <v>35310.299999999974</v>
      </c>
      <c r="P19" s="75">
        <v>9940</v>
      </c>
      <c r="Q19" s="75">
        <v>79988</v>
      </c>
      <c r="R19" s="194">
        <v>313530.34999999998</v>
      </c>
      <c r="S19" s="194">
        <v>5999.4</v>
      </c>
      <c r="T19" s="70">
        <v>1217.6500000000005</v>
      </c>
      <c r="U19" s="80">
        <v>81753.173721494197</v>
      </c>
      <c r="V19" s="73"/>
      <c r="X19" s="30"/>
      <c r="Y19" s="54">
        <v>10</v>
      </c>
      <c r="Z19" s="70">
        <v>59189.65</v>
      </c>
      <c r="AA19" s="75">
        <v>13495</v>
      </c>
      <c r="AB19" s="75">
        <v>8460.9</v>
      </c>
      <c r="AC19" s="75">
        <v>76148.100000000006</v>
      </c>
      <c r="AD19" s="194">
        <v>338640.75</v>
      </c>
      <c r="AE19" s="194">
        <v>7230.45</v>
      </c>
      <c r="AF19" s="76">
        <v>0.1</v>
      </c>
      <c r="AG19" s="70">
        <v>4723.2500000000009</v>
      </c>
      <c r="AH19" s="31"/>
    </row>
    <row r="20" spans="3:34" x14ac:dyDescent="0.25">
      <c r="C20" s="72"/>
      <c r="D20" s="54">
        <v>11</v>
      </c>
      <c r="E20" s="70">
        <v>58351.91</v>
      </c>
      <c r="F20" s="75">
        <v>9813</v>
      </c>
      <c r="G20" s="75">
        <v>88291</v>
      </c>
      <c r="H20" s="194">
        <v>343364</v>
      </c>
      <c r="I20" s="194">
        <v>12791.44</v>
      </c>
      <c r="J20" s="75">
        <v>81753.173721494197</v>
      </c>
      <c r="K20" s="73"/>
      <c r="M20" s="72"/>
      <c r="N20" s="54">
        <v>11</v>
      </c>
      <c r="O20" s="70">
        <v>63448.769999999975</v>
      </c>
      <c r="P20" s="75">
        <v>10888</v>
      </c>
      <c r="Q20" s="75">
        <v>87216</v>
      </c>
      <c r="R20" s="194">
        <v>342030.22</v>
      </c>
      <c r="S20" s="194">
        <v>6360.8</v>
      </c>
      <c r="T20" s="70">
        <v>1333.7800000000007</v>
      </c>
      <c r="U20" s="80">
        <v>81753.173721494197</v>
      </c>
      <c r="V20" s="73"/>
      <c r="X20" s="30"/>
      <c r="Y20" s="54">
        <v>11</v>
      </c>
      <c r="Z20" s="70">
        <v>46312.750000000022</v>
      </c>
      <c r="AA20" s="75">
        <v>9406</v>
      </c>
      <c r="AB20" s="75">
        <v>6768.8</v>
      </c>
      <c r="AC20" s="75">
        <v>77841.2</v>
      </c>
      <c r="AD20" s="194">
        <v>325763.90000000002</v>
      </c>
      <c r="AE20" s="194">
        <v>7230.5</v>
      </c>
      <c r="AF20" s="76">
        <v>0.08</v>
      </c>
      <c r="AG20" s="70">
        <v>3292.1000000000008</v>
      </c>
      <c r="AH20" s="31"/>
    </row>
    <row r="21" spans="3:34" x14ac:dyDescent="0.25">
      <c r="C21" s="72"/>
      <c r="D21" s="54">
        <v>12</v>
      </c>
      <c r="E21" s="70">
        <v>44493.59</v>
      </c>
      <c r="F21" s="75">
        <v>8486</v>
      </c>
      <c r="G21" s="75">
        <v>85530</v>
      </c>
      <c r="H21" s="194">
        <v>329056</v>
      </c>
      <c r="I21" s="194">
        <v>12341.76</v>
      </c>
      <c r="J21" s="75">
        <v>81753.173721494197</v>
      </c>
      <c r="K21" s="73"/>
      <c r="M21" s="72"/>
      <c r="N21" s="54">
        <v>12</v>
      </c>
      <c r="O21" s="70">
        <v>91525.862500000017</v>
      </c>
      <c r="P21" s="75">
        <v>12635</v>
      </c>
      <c r="Q21" s="75">
        <v>93644</v>
      </c>
      <c r="R21" s="194">
        <v>370428.71250000002</v>
      </c>
      <c r="S21" s="194">
        <v>6682.2</v>
      </c>
      <c r="T21" s="70">
        <v>1547.7875000000006</v>
      </c>
      <c r="U21" s="80">
        <v>81753.173721494197</v>
      </c>
      <c r="V21" s="73"/>
      <c r="X21" s="30"/>
      <c r="Y21" s="54">
        <v>12</v>
      </c>
      <c r="Z21" s="70">
        <v>45760.750000000022</v>
      </c>
      <c r="AA21" s="75">
        <v>11246</v>
      </c>
      <c r="AB21" s="75">
        <v>8277</v>
      </c>
      <c r="AC21" s="75">
        <v>74493</v>
      </c>
      <c r="AD21" s="194">
        <v>325119.90000000002</v>
      </c>
      <c r="AE21" s="194">
        <v>7138.5</v>
      </c>
      <c r="AF21" s="76">
        <v>0.1</v>
      </c>
      <c r="AG21" s="70">
        <v>3936.1000000000008</v>
      </c>
      <c r="AH21" s="31"/>
    </row>
    <row r="22" spans="3:34" x14ac:dyDescent="0.25">
      <c r="C22" s="72"/>
      <c r="D22" s="54">
        <v>13</v>
      </c>
      <c r="E22" s="70">
        <v>44493.59</v>
      </c>
      <c r="F22" s="75">
        <v>6594</v>
      </c>
      <c r="G22" s="75">
        <v>87422</v>
      </c>
      <c r="H22" s="194">
        <v>329056</v>
      </c>
      <c r="I22" s="194">
        <v>12341.76</v>
      </c>
      <c r="J22" s="75">
        <v>81753.173721494197</v>
      </c>
      <c r="K22" s="73"/>
      <c r="M22" s="72"/>
      <c r="N22" s="54">
        <v>13</v>
      </c>
      <c r="O22" s="70">
        <v>63370.32499999999</v>
      </c>
      <c r="P22" s="75">
        <v>11970</v>
      </c>
      <c r="Q22" s="75">
        <v>86134</v>
      </c>
      <c r="R22" s="194">
        <v>341897.67499999999</v>
      </c>
      <c r="S22" s="194">
        <v>6306.7</v>
      </c>
      <c r="T22" s="70">
        <v>1466.3250000000007</v>
      </c>
      <c r="U22" s="80">
        <v>81753.173721494197</v>
      </c>
      <c r="V22" s="73"/>
      <c r="X22" s="30"/>
      <c r="Y22" s="54">
        <v>13</v>
      </c>
      <c r="Z22" s="70">
        <v>32126.349999999988</v>
      </c>
      <c r="AA22" s="75">
        <v>9682</v>
      </c>
      <c r="AB22" s="75">
        <v>6419.68</v>
      </c>
      <c r="AC22" s="75">
        <v>73826.320000000007</v>
      </c>
      <c r="AD22" s="194">
        <v>311359.3</v>
      </c>
      <c r="AE22" s="194">
        <v>7012.3</v>
      </c>
      <c r="AF22" s="76">
        <v>0.08</v>
      </c>
      <c r="AG22" s="70">
        <v>3388.7000000000007</v>
      </c>
      <c r="AH22" s="31"/>
    </row>
    <row r="23" spans="3:34" x14ac:dyDescent="0.25">
      <c r="C23" s="72"/>
      <c r="D23" s="54">
        <v>14</v>
      </c>
      <c r="E23" s="70">
        <v>58351.91</v>
      </c>
      <c r="F23" s="75">
        <v>7762</v>
      </c>
      <c r="G23" s="75">
        <v>90342</v>
      </c>
      <c r="H23" s="194">
        <v>343364</v>
      </c>
      <c r="I23" s="194">
        <v>12791.44</v>
      </c>
      <c r="J23" s="75">
        <v>81753.173721494197</v>
      </c>
      <c r="K23" s="73"/>
      <c r="M23" s="72"/>
      <c r="N23" s="54">
        <v>14</v>
      </c>
      <c r="O23" s="70">
        <v>91285.959999999992</v>
      </c>
      <c r="P23" s="75">
        <v>15944</v>
      </c>
      <c r="Q23" s="75">
        <v>90335</v>
      </c>
      <c r="R23" s="194">
        <v>370023.36</v>
      </c>
      <c r="S23" s="194">
        <v>6516.75</v>
      </c>
      <c r="T23" s="70">
        <v>1953.1400000000008</v>
      </c>
      <c r="U23" s="80">
        <v>81753.173721494197</v>
      </c>
      <c r="V23" s="73"/>
      <c r="X23" s="30"/>
      <c r="Y23" s="54">
        <v>14</v>
      </c>
      <c r="Z23" s="70">
        <v>60326.35000000002</v>
      </c>
      <c r="AA23" s="75">
        <v>9706</v>
      </c>
      <c r="AB23" s="75">
        <v>7071.84</v>
      </c>
      <c r="AC23" s="75">
        <v>81326.16</v>
      </c>
      <c r="AD23" s="194">
        <v>339966.9</v>
      </c>
      <c r="AE23" s="194">
        <v>7419.9000000000005</v>
      </c>
      <c r="AF23" s="76">
        <v>0.08</v>
      </c>
      <c r="AG23" s="70">
        <v>3397.1000000000008</v>
      </c>
      <c r="AH23" s="31"/>
    </row>
    <row r="24" spans="3:34" x14ac:dyDescent="0.25">
      <c r="C24" s="72"/>
      <c r="D24" s="54">
        <v>15</v>
      </c>
      <c r="E24" s="70">
        <v>30635.27</v>
      </c>
      <c r="F24" s="75">
        <v>8936</v>
      </c>
      <c r="G24" s="75">
        <v>80992</v>
      </c>
      <c r="H24" s="194">
        <v>314748</v>
      </c>
      <c r="I24" s="194">
        <v>11892.08</v>
      </c>
      <c r="J24" s="75">
        <v>81753.173721494197</v>
      </c>
      <c r="K24" s="73"/>
      <c r="M24" s="72"/>
      <c r="N24" s="54">
        <v>15</v>
      </c>
      <c r="O24" s="70">
        <v>35051.330000000031</v>
      </c>
      <c r="P24" s="75">
        <v>13512</v>
      </c>
      <c r="Q24" s="75">
        <v>76416</v>
      </c>
      <c r="R24" s="194">
        <v>313092.78000000003</v>
      </c>
      <c r="S24" s="194">
        <v>5820.8</v>
      </c>
      <c r="T24" s="70">
        <v>1655.2200000000007</v>
      </c>
      <c r="U24" s="80">
        <v>81753.173721494197</v>
      </c>
      <c r="V24" s="73"/>
      <c r="X24" s="30"/>
      <c r="Y24" s="54">
        <v>15</v>
      </c>
      <c r="Z24" s="70">
        <v>88231.9</v>
      </c>
      <c r="AA24" s="75">
        <v>10700</v>
      </c>
      <c r="AB24" s="75">
        <v>7646.32</v>
      </c>
      <c r="AC24" s="75">
        <v>87932.68</v>
      </c>
      <c r="AD24" s="194">
        <v>368231.5</v>
      </c>
      <c r="AE24" s="194">
        <v>7778.95</v>
      </c>
      <c r="AF24" s="76">
        <v>0.08</v>
      </c>
      <c r="AG24" s="70">
        <v>3745.0000000000009</v>
      </c>
      <c r="AH24" s="31"/>
    </row>
    <row r="25" spans="3:34" x14ac:dyDescent="0.25">
      <c r="C25" s="72"/>
      <c r="D25" s="54">
        <v>16</v>
      </c>
      <c r="E25" s="70">
        <v>30635.27</v>
      </c>
      <c r="F25" s="75">
        <v>4551</v>
      </c>
      <c r="G25" s="75">
        <v>85377</v>
      </c>
      <c r="H25" s="194">
        <v>314748</v>
      </c>
      <c r="I25" s="194">
        <v>11892.08</v>
      </c>
      <c r="J25" s="75">
        <v>81753.173721494197</v>
      </c>
      <c r="K25" s="73"/>
      <c r="M25" s="72"/>
      <c r="N25" s="54">
        <v>16</v>
      </c>
      <c r="O25" s="70">
        <v>49184.872499999998</v>
      </c>
      <c r="P25" s="75">
        <v>13099</v>
      </c>
      <c r="Q25" s="75">
        <v>80917</v>
      </c>
      <c r="R25" s="194">
        <v>327451.3725</v>
      </c>
      <c r="S25" s="194">
        <v>6045.85</v>
      </c>
      <c r="T25" s="70">
        <v>1604.6275000000007</v>
      </c>
      <c r="U25" s="80">
        <v>81753.173721494197</v>
      </c>
      <c r="V25" s="73"/>
      <c r="X25" s="30"/>
      <c r="Y25" s="54">
        <v>16</v>
      </c>
      <c r="Z25" s="70">
        <v>87214.9</v>
      </c>
      <c r="AA25" s="75">
        <v>14090</v>
      </c>
      <c r="AB25" s="75">
        <v>4609.45</v>
      </c>
      <c r="AC25" s="75">
        <v>87579.55</v>
      </c>
      <c r="AD25" s="194">
        <v>367045</v>
      </c>
      <c r="AE25" s="194">
        <v>7609.45</v>
      </c>
      <c r="AF25" s="76">
        <v>0.05</v>
      </c>
      <c r="AG25" s="70">
        <v>4931.5000000000009</v>
      </c>
      <c r="AH25" s="31"/>
    </row>
    <row r="26" spans="3:34" x14ac:dyDescent="0.25">
      <c r="C26" s="72"/>
      <c r="D26" s="54">
        <v>17</v>
      </c>
      <c r="E26" s="70">
        <v>30635.27</v>
      </c>
      <c r="F26" s="75">
        <v>6283</v>
      </c>
      <c r="G26" s="75">
        <v>83645</v>
      </c>
      <c r="H26" s="194">
        <v>314748</v>
      </c>
      <c r="I26" s="194">
        <v>11892.08</v>
      </c>
      <c r="J26" s="75">
        <v>81753.173721494197</v>
      </c>
      <c r="K26" s="73"/>
      <c r="M26" s="72"/>
      <c r="N26" s="54">
        <v>17</v>
      </c>
      <c r="O26" s="70">
        <v>49322.042500000018</v>
      </c>
      <c r="P26" s="75">
        <v>11207</v>
      </c>
      <c r="Q26" s="75">
        <v>82809</v>
      </c>
      <c r="R26" s="194">
        <v>327683.14250000002</v>
      </c>
      <c r="S26" s="194">
        <v>6140.45</v>
      </c>
      <c r="T26" s="70">
        <v>1372.8575000000005</v>
      </c>
      <c r="U26" s="80">
        <v>81753.173721494197</v>
      </c>
      <c r="V26" s="73"/>
      <c r="X26" s="30"/>
      <c r="Y26" s="54">
        <v>17</v>
      </c>
      <c r="Z26" s="70">
        <v>45475.150000000009</v>
      </c>
      <c r="AA26" s="75">
        <v>12198</v>
      </c>
      <c r="AB26" s="75">
        <v>6545.4400000000005</v>
      </c>
      <c r="AC26" s="75">
        <v>75272.56</v>
      </c>
      <c r="AD26" s="194">
        <v>324786.7</v>
      </c>
      <c r="AE26" s="194">
        <v>7090.9</v>
      </c>
      <c r="AF26" s="76">
        <v>0.08</v>
      </c>
      <c r="AG26" s="70">
        <v>4269.3000000000011</v>
      </c>
      <c r="AH26" s="31"/>
    </row>
    <row r="27" spans="3:34" x14ac:dyDescent="0.25">
      <c r="C27" s="72"/>
      <c r="D27" s="54">
        <v>18</v>
      </c>
      <c r="E27" s="70">
        <v>58351.91</v>
      </c>
      <c r="F27" s="75">
        <v>9017</v>
      </c>
      <c r="G27" s="75">
        <v>89087</v>
      </c>
      <c r="H27" s="194">
        <v>343364</v>
      </c>
      <c r="I27" s="194">
        <v>12791.44</v>
      </c>
      <c r="J27" s="75">
        <v>81753.173721494197</v>
      </c>
      <c r="K27" s="73"/>
      <c r="M27" s="72"/>
      <c r="N27" s="54">
        <v>18</v>
      </c>
      <c r="O27" s="70">
        <v>49321.825000000026</v>
      </c>
      <c r="P27" s="75">
        <v>11210</v>
      </c>
      <c r="Q27" s="75">
        <v>82806</v>
      </c>
      <c r="R27" s="194">
        <v>327682.77500000002</v>
      </c>
      <c r="S27" s="194">
        <v>6140.3</v>
      </c>
      <c r="T27" s="70">
        <v>1373.2250000000006</v>
      </c>
      <c r="U27" s="80">
        <v>81753.173721494197</v>
      </c>
      <c r="V27" s="73"/>
      <c r="X27" s="30"/>
      <c r="Y27" s="54">
        <v>18</v>
      </c>
      <c r="Z27" s="70">
        <v>60275.049999999988</v>
      </c>
      <c r="AA27" s="75">
        <v>9877</v>
      </c>
      <c r="AB27" s="75">
        <v>4411.3500000000004</v>
      </c>
      <c r="AC27" s="75">
        <v>83815.649999999994</v>
      </c>
      <c r="AD27" s="194">
        <v>339907.05</v>
      </c>
      <c r="AE27" s="194">
        <v>7411.35</v>
      </c>
      <c r="AF27" s="76">
        <v>0.05</v>
      </c>
      <c r="AG27" s="70">
        <v>3456.9500000000007</v>
      </c>
      <c r="AH27" s="31"/>
    </row>
    <row r="28" spans="3:34" x14ac:dyDescent="0.25">
      <c r="C28" s="72"/>
      <c r="D28" s="54">
        <v>19</v>
      </c>
      <c r="E28" s="70">
        <v>30635.27</v>
      </c>
      <c r="F28" s="75">
        <v>6279</v>
      </c>
      <c r="G28" s="75">
        <v>83649</v>
      </c>
      <c r="H28" s="194">
        <v>314748</v>
      </c>
      <c r="I28" s="194">
        <v>11892.08</v>
      </c>
      <c r="J28" s="75">
        <v>81753.173721494197</v>
      </c>
      <c r="K28" s="73"/>
      <c r="M28" s="72"/>
      <c r="N28" s="54">
        <v>19</v>
      </c>
      <c r="O28" s="70">
        <v>35186.180000000008</v>
      </c>
      <c r="P28" s="75">
        <v>11652</v>
      </c>
      <c r="Q28" s="75">
        <v>78276</v>
      </c>
      <c r="R28" s="194">
        <v>313320.63</v>
      </c>
      <c r="S28" s="194">
        <v>5913.8</v>
      </c>
      <c r="T28" s="70">
        <v>1427.3700000000006</v>
      </c>
      <c r="U28" s="80">
        <v>81753.173721494197</v>
      </c>
      <c r="V28" s="73"/>
      <c r="X28" s="30"/>
      <c r="Y28" s="54">
        <v>19</v>
      </c>
      <c r="Z28" s="70">
        <v>59036.35000000002</v>
      </c>
      <c r="AA28" s="75">
        <v>14006</v>
      </c>
      <c r="AB28" s="75">
        <v>6727.84</v>
      </c>
      <c r="AC28" s="75">
        <v>77370.16</v>
      </c>
      <c r="AD28" s="194">
        <v>338461.9</v>
      </c>
      <c r="AE28" s="194">
        <v>7204.9000000000005</v>
      </c>
      <c r="AF28" s="76">
        <v>0.08</v>
      </c>
      <c r="AG28" s="70">
        <v>4902.1000000000013</v>
      </c>
      <c r="AH28" s="31"/>
    </row>
    <row r="29" spans="3:34" x14ac:dyDescent="0.25">
      <c r="C29" s="72"/>
      <c r="D29" s="54">
        <v>20</v>
      </c>
      <c r="E29" s="70">
        <v>86065.16</v>
      </c>
      <c r="F29" s="75">
        <v>8550</v>
      </c>
      <c r="G29" s="75">
        <v>97729</v>
      </c>
      <c r="H29" s="194">
        <v>371976.5</v>
      </c>
      <c r="I29" s="194">
        <v>13690.69</v>
      </c>
      <c r="J29" s="75">
        <v>81753.173721494197</v>
      </c>
      <c r="K29" s="73"/>
      <c r="M29" s="72"/>
      <c r="N29" s="54">
        <v>20</v>
      </c>
      <c r="O29" s="70">
        <v>91277.840000000011</v>
      </c>
      <c r="P29" s="75">
        <v>16056</v>
      </c>
      <c r="Q29" s="75">
        <v>90223</v>
      </c>
      <c r="R29" s="194">
        <v>370009.64</v>
      </c>
      <c r="S29" s="194">
        <v>6511.1500000000005</v>
      </c>
      <c r="T29" s="70">
        <v>1966.8600000000008</v>
      </c>
      <c r="U29" s="80">
        <v>81753.173721494197</v>
      </c>
      <c r="V29" s="73"/>
      <c r="X29" s="30"/>
      <c r="Y29" s="54">
        <v>20</v>
      </c>
      <c r="Z29" s="70">
        <v>60320.949999999975</v>
      </c>
      <c r="AA29" s="75">
        <v>9724</v>
      </c>
      <c r="AB29" s="75">
        <v>5302.8</v>
      </c>
      <c r="AC29" s="75">
        <v>83077.2</v>
      </c>
      <c r="AD29" s="194">
        <v>339960.6</v>
      </c>
      <c r="AE29" s="194">
        <v>7419</v>
      </c>
      <c r="AF29" s="76">
        <v>0.06</v>
      </c>
      <c r="AG29" s="70">
        <v>3403.400000000001</v>
      </c>
      <c r="AH29" s="31"/>
    </row>
    <row r="30" spans="3:34" x14ac:dyDescent="0.25">
      <c r="C30" s="72"/>
      <c r="D30" s="54">
        <v>21</v>
      </c>
      <c r="E30" s="70">
        <v>44493.59</v>
      </c>
      <c r="F30" s="75">
        <v>6578</v>
      </c>
      <c r="G30" s="75">
        <v>87438</v>
      </c>
      <c r="H30" s="194">
        <v>329056</v>
      </c>
      <c r="I30" s="194">
        <v>12341.76</v>
      </c>
      <c r="J30" s="75">
        <v>81753.173721494197</v>
      </c>
      <c r="K30" s="73"/>
      <c r="M30" s="72"/>
      <c r="N30" s="54">
        <v>21</v>
      </c>
      <c r="O30" s="70">
        <v>49450.294999999969</v>
      </c>
      <c r="P30" s="75">
        <v>9438</v>
      </c>
      <c r="Q30" s="75">
        <v>84578</v>
      </c>
      <c r="R30" s="194">
        <v>327899.84499999997</v>
      </c>
      <c r="S30" s="194">
        <v>6228.9000000000005</v>
      </c>
      <c r="T30" s="70">
        <v>1156.1550000000004</v>
      </c>
      <c r="U30" s="80">
        <v>81753.173721494197</v>
      </c>
      <c r="V30" s="73"/>
      <c r="X30" s="30"/>
      <c r="Y30" s="54">
        <v>21</v>
      </c>
      <c r="Z30" s="70">
        <v>60000.549999999988</v>
      </c>
      <c r="AA30" s="75">
        <v>10792</v>
      </c>
      <c r="AB30" s="75">
        <v>8731.2000000000007</v>
      </c>
      <c r="AC30" s="75">
        <v>78580.800000000003</v>
      </c>
      <c r="AD30" s="194">
        <v>339586.8</v>
      </c>
      <c r="AE30" s="194">
        <v>7365.6</v>
      </c>
      <c r="AF30" s="76">
        <v>0.1</v>
      </c>
      <c r="AG30" s="70">
        <v>3777.2000000000012</v>
      </c>
      <c r="AH30" s="31"/>
    </row>
    <row r="31" spans="3:34" x14ac:dyDescent="0.25">
      <c r="C31" s="72"/>
      <c r="D31" s="54">
        <v>22</v>
      </c>
      <c r="E31" s="70">
        <v>44493.59</v>
      </c>
      <c r="F31" s="75">
        <v>4678</v>
      </c>
      <c r="G31" s="75">
        <v>89338</v>
      </c>
      <c r="H31" s="194">
        <v>329056</v>
      </c>
      <c r="I31" s="194">
        <v>12341.76</v>
      </c>
      <c r="J31" s="75">
        <v>81753.173721494197</v>
      </c>
      <c r="K31" s="73"/>
      <c r="M31" s="72"/>
      <c r="N31" s="54">
        <v>22</v>
      </c>
      <c r="O31" s="70">
        <v>63171.239999999976</v>
      </c>
      <c r="P31" s="75">
        <v>14716</v>
      </c>
      <c r="Q31" s="75">
        <v>83388</v>
      </c>
      <c r="R31" s="194">
        <v>341561.29</v>
      </c>
      <c r="S31" s="194">
        <v>6169.4000000000005</v>
      </c>
      <c r="T31" s="70">
        <v>1802.7100000000007</v>
      </c>
      <c r="U31" s="80">
        <v>81753.173721494197</v>
      </c>
      <c r="V31" s="73"/>
      <c r="X31" s="30"/>
      <c r="Y31" s="54">
        <v>22</v>
      </c>
      <c r="Z31" s="70">
        <v>45431.05</v>
      </c>
      <c r="AA31" s="75">
        <v>12345</v>
      </c>
      <c r="AB31" s="75">
        <v>6533.68</v>
      </c>
      <c r="AC31" s="75">
        <v>75137.320000000007</v>
      </c>
      <c r="AD31" s="194">
        <v>324735.25</v>
      </c>
      <c r="AE31" s="194">
        <v>7083.55</v>
      </c>
      <c r="AF31" s="76">
        <v>0.08</v>
      </c>
      <c r="AG31" s="70">
        <v>4320.7500000000009</v>
      </c>
      <c r="AH31" s="31"/>
    </row>
    <row r="32" spans="3:34" x14ac:dyDescent="0.25">
      <c r="C32" s="72"/>
      <c r="D32" s="54">
        <v>23</v>
      </c>
      <c r="E32" s="70">
        <v>58351.91</v>
      </c>
      <c r="F32" s="75">
        <v>4890</v>
      </c>
      <c r="G32" s="75">
        <v>93214</v>
      </c>
      <c r="H32" s="194">
        <v>343364</v>
      </c>
      <c r="I32" s="194">
        <v>12791.44</v>
      </c>
      <c r="J32" s="75">
        <v>81753.173721494197</v>
      </c>
      <c r="K32" s="73"/>
      <c r="M32" s="72"/>
      <c r="N32" s="54">
        <v>23</v>
      </c>
      <c r="O32" s="70">
        <v>49240.044999999969</v>
      </c>
      <c r="P32" s="75">
        <v>12338</v>
      </c>
      <c r="Q32" s="75">
        <v>81678</v>
      </c>
      <c r="R32" s="194">
        <v>327544.59499999997</v>
      </c>
      <c r="S32" s="194">
        <v>6083.9</v>
      </c>
      <c r="T32" s="70">
        <v>1511.4050000000007</v>
      </c>
      <c r="U32" s="80">
        <v>81753.173721494197</v>
      </c>
      <c r="V32" s="73"/>
      <c r="X32" s="30"/>
      <c r="Y32" s="54">
        <v>23</v>
      </c>
      <c r="Z32" s="70">
        <v>87302.500000000015</v>
      </c>
      <c r="AA32" s="75">
        <v>13798</v>
      </c>
      <c r="AB32" s="75">
        <v>8323.2899999999991</v>
      </c>
      <c r="AC32" s="75">
        <v>84157.71</v>
      </c>
      <c r="AD32" s="194">
        <v>367147.2</v>
      </c>
      <c r="AE32" s="194">
        <v>7624.05</v>
      </c>
      <c r="AF32" s="76">
        <v>0.09</v>
      </c>
      <c r="AG32" s="70">
        <v>4829.3000000000011</v>
      </c>
      <c r="AH32" s="31"/>
    </row>
    <row r="33" spans="3:34" x14ac:dyDescent="0.25">
      <c r="C33" s="72"/>
      <c r="D33" s="54">
        <v>24</v>
      </c>
      <c r="E33" s="70">
        <v>30635.27</v>
      </c>
      <c r="F33" s="75">
        <v>8965</v>
      </c>
      <c r="G33" s="75">
        <v>80963</v>
      </c>
      <c r="H33" s="194">
        <v>314748</v>
      </c>
      <c r="I33" s="194">
        <v>11892.08</v>
      </c>
      <c r="J33" s="75">
        <v>81753.173721494197</v>
      </c>
      <c r="K33" s="73"/>
      <c r="M33" s="72"/>
      <c r="N33" s="54">
        <v>24</v>
      </c>
      <c r="O33" s="70">
        <v>49164.282500000016</v>
      </c>
      <c r="P33" s="75">
        <v>13383</v>
      </c>
      <c r="Q33" s="75">
        <v>80633</v>
      </c>
      <c r="R33" s="194">
        <v>327416.58250000002</v>
      </c>
      <c r="S33" s="194">
        <v>6031.65</v>
      </c>
      <c r="T33" s="70">
        <v>1639.4175000000007</v>
      </c>
      <c r="U33" s="80">
        <v>81753.173721494197</v>
      </c>
      <c r="V33" s="73"/>
      <c r="X33" s="30"/>
      <c r="Y33" s="54">
        <v>24</v>
      </c>
      <c r="Z33" s="70">
        <v>59462.65</v>
      </c>
      <c r="AA33" s="75">
        <v>12585</v>
      </c>
      <c r="AB33" s="75">
        <v>8551.9</v>
      </c>
      <c r="AC33" s="75">
        <v>76967.100000000006</v>
      </c>
      <c r="AD33" s="194">
        <v>338959.25</v>
      </c>
      <c r="AE33" s="194">
        <v>7275.95</v>
      </c>
      <c r="AF33" s="76">
        <v>0.1</v>
      </c>
      <c r="AG33" s="70">
        <v>4404.7500000000009</v>
      </c>
      <c r="AH33" s="31"/>
    </row>
    <row r="34" spans="3:34" x14ac:dyDescent="0.25">
      <c r="C34" s="72"/>
      <c r="D34" s="54">
        <v>25</v>
      </c>
      <c r="E34" s="70">
        <v>44493.59</v>
      </c>
      <c r="F34" s="75">
        <v>9284</v>
      </c>
      <c r="G34" s="75">
        <v>84732</v>
      </c>
      <c r="H34" s="194">
        <v>329056</v>
      </c>
      <c r="I34" s="194">
        <v>12341.76</v>
      </c>
      <c r="J34" s="75">
        <v>81753.173721494197</v>
      </c>
      <c r="K34" s="73"/>
      <c r="M34" s="72"/>
      <c r="N34" s="54">
        <v>25</v>
      </c>
      <c r="O34" s="70">
        <v>49128.322500000009</v>
      </c>
      <c r="P34" s="75">
        <v>13879</v>
      </c>
      <c r="Q34" s="75">
        <v>80137</v>
      </c>
      <c r="R34" s="194">
        <v>327355.82250000001</v>
      </c>
      <c r="S34" s="194">
        <v>6006.85</v>
      </c>
      <c r="T34" s="70">
        <v>1700.1775000000007</v>
      </c>
      <c r="U34" s="80">
        <v>81753.173721494197</v>
      </c>
      <c r="V34" s="73"/>
      <c r="X34" s="30"/>
      <c r="Y34" s="54">
        <v>25</v>
      </c>
      <c r="Z34" s="70">
        <v>59443.750000000015</v>
      </c>
      <c r="AA34" s="75">
        <v>12648</v>
      </c>
      <c r="AB34" s="75">
        <v>6836.4800000000005</v>
      </c>
      <c r="AC34" s="75">
        <v>78619.520000000004</v>
      </c>
      <c r="AD34" s="194">
        <v>338937.2</v>
      </c>
      <c r="AE34" s="194">
        <v>7272.8</v>
      </c>
      <c r="AF34" s="76">
        <v>0.08</v>
      </c>
      <c r="AG34" s="70">
        <v>4426.8000000000011</v>
      </c>
      <c r="AH34" s="31"/>
    </row>
    <row r="35" spans="3:34" x14ac:dyDescent="0.25">
      <c r="C35" s="72"/>
      <c r="D35" s="54">
        <v>26</v>
      </c>
      <c r="E35" s="70">
        <v>44493.59</v>
      </c>
      <c r="F35" s="75">
        <v>8629</v>
      </c>
      <c r="G35" s="75">
        <v>85387</v>
      </c>
      <c r="H35" s="194">
        <v>329056</v>
      </c>
      <c r="I35" s="194">
        <v>12341.76</v>
      </c>
      <c r="J35" s="75">
        <v>81753.173721494197</v>
      </c>
      <c r="K35" s="73"/>
      <c r="M35" s="72"/>
      <c r="N35" s="54">
        <v>26</v>
      </c>
      <c r="O35" s="70">
        <v>49173.562500000015</v>
      </c>
      <c r="P35" s="75">
        <v>13255</v>
      </c>
      <c r="Q35" s="75">
        <v>80761</v>
      </c>
      <c r="R35" s="194">
        <v>327432.26250000001</v>
      </c>
      <c r="S35" s="194">
        <v>6038.05</v>
      </c>
      <c r="T35" s="70">
        <v>1623.7375000000006</v>
      </c>
      <c r="U35" s="80">
        <v>81753.173721494197</v>
      </c>
      <c r="V35" s="73"/>
      <c r="X35" s="30"/>
      <c r="Y35" s="54">
        <v>26</v>
      </c>
      <c r="Z35" s="70">
        <v>59938.449999999975</v>
      </c>
      <c r="AA35" s="75">
        <v>10999</v>
      </c>
      <c r="AB35" s="75">
        <v>8710.5</v>
      </c>
      <c r="AC35" s="75">
        <v>78394.5</v>
      </c>
      <c r="AD35" s="194">
        <v>339514.35</v>
      </c>
      <c r="AE35" s="194">
        <v>7355.25</v>
      </c>
      <c r="AF35" s="76">
        <v>0.1</v>
      </c>
      <c r="AG35" s="70">
        <v>3849.650000000001</v>
      </c>
      <c r="AH35" s="31"/>
    </row>
    <row r="36" spans="3:34" x14ac:dyDescent="0.25">
      <c r="C36" s="72"/>
      <c r="D36" s="54">
        <v>27</v>
      </c>
      <c r="E36" s="70">
        <v>44493.59</v>
      </c>
      <c r="F36" s="75">
        <v>4715</v>
      </c>
      <c r="G36" s="75">
        <v>89301</v>
      </c>
      <c r="H36" s="194">
        <v>329056</v>
      </c>
      <c r="I36" s="194">
        <v>12341.76</v>
      </c>
      <c r="J36" s="75">
        <v>81753.173721494197</v>
      </c>
      <c r="K36" s="73"/>
      <c r="M36" s="72"/>
      <c r="N36" s="54">
        <v>27</v>
      </c>
      <c r="O36" s="70">
        <v>63168.92</v>
      </c>
      <c r="P36" s="75">
        <v>14748</v>
      </c>
      <c r="Q36" s="75">
        <v>83356</v>
      </c>
      <c r="R36" s="194">
        <v>341557.37</v>
      </c>
      <c r="S36" s="194">
        <v>6167.8</v>
      </c>
      <c r="T36" s="70">
        <v>1806.6300000000008</v>
      </c>
      <c r="U36" s="80">
        <v>81753.173721494197</v>
      </c>
      <c r="V36" s="73"/>
      <c r="X36" s="30"/>
      <c r="Y36" s="54">
        <v>27</v>
      </c>
      <c r="Z36" s="70">
        <v>46335.849999999977</v>
      </c>
      <c r="AA36" s="75">
        <v>9329</v>
      </c>
      <c r="AB36" s="75">
        <v>5928.09</v>
      </c>
      <c r="AC36" s="75">
        <v>78758.91</v>
      </c>
      <c r="AD36" s="194">
        <v>325790.84999999998</v>
      </c>
      <c r="AE36" s="194">
        <v>7234.35</v>
      </c>
      <c r="AF36" s="76">
        <v>7.0000000000000007E-2</v>
      </c>
      <c r="AG36" s="70">
        <v>3265.150000000001</v>
      </c>
      <c r="AH36" s="31"/>
    </row>
    <row r="37" spans="3:34" x14ac:dyDescent="0.25">
      <c r="C37" s="72"/>
      <c r="D37" s="54">
        <v>28</v>
      </c>
      <c r="E37" s="70">
        <v>58351.91</v>
      </c>
      <c r="F37" s="75">
        <v>6969</v>
      </c>
      <c r="G37" s="75">
        <v>91135</v>
      </c>
      <c r="H37" s="194">
        <v>343364</v>
      </c>
      <c r="I37" s="194">
        <v>12791.44</v>
      </c>
      <c r="J37" s="75">
        <v>81753.173721494197</v>
      </c>
      <c r="K37" s="73"/>
      <c r="M37" s="72"/>
      <c r="N37" s="54">
        <v>28</v>
      </c>
      <c r="O37" s="70">
        <v>63449.929999999993</v>
      </c>
      <c r="P37" s="75">
        <v>10872</v>
      </c>
      <c r="Q37" s="75">
        <v>87232</v>
      </c>
      <c r="R37" s="194">
        <v>342032.18</v>
      </c>
      <c r="S37" s="194">
        <v>6361.6</v>
      </c>
      <c r="T37" s="70">
        <v>1331.8200000000006</v>
      </c>
      <c r="U37" s="80">
        <v>81753.173721494197</v>
      </c>
      <c r="V37" s="73"/>
      <c r="X37" s="30"/>
      <c r="Y37" s="54">
        <v>28</v>
      </c>
      <c r="Z37" s="70">
        <v>86680.60000000002</v>
      </c>
      <c r="AA37" s="75">
        <v>15871</v>
      </c>
      <c r="AB37" s="75">
        <v>4520.4000000000005</v>
      </c>
      <c r="AC37" s="75">
        <v>85887.6</v>
      </c>
      <c r="AD37" s="194">
        <v>366421.65</v>
      </c>
      <c r="AE37" s="194">
        <v>7520.4000000000005</v>
      </c>
      <c r="AF37" s="76">
        <v>0.05</v>
      </c>
      <c r="AG37" s="70">
        <v>5554.8500000000013</v>
      </c>
      <c r="AH37" s="31"/>
    </row>
    <row r="38" spans="3:34" x14ac:dyDescent="0.25">
      <c r="C38" s="72"/>
      <c r="D38" s="54">
        <v>29</v>
      </c>
      <c r="E38" s="70">
        <v>44493.59</v>
      </c>
      <c r="F38" s="75">
        <v>7498</v>
      </c>
      <c r="G38" s="75">
        <v>86518</v>
      </c>
      <c r="H38" s="194">
        <v>329056</v>
      </c>
      <c r="I38" s="194">
        <v>12341.76</v>
      </c>
      <c r="J38" s="75">
        <v>81753.173721494197</v>
      </c>
      <c r="K38" s="73"/>
      <c r="M38" s="72"/>
      <c r="N38" s="54">
        <v>29</v>
      </c>
      <c r="O38" s="70">
        <v>49189.802500000013</v>
      </c>
      <c r="P38" s="75">
        <v>13031</v>
      </c>
      <c r="Q38" s="75">
        <v>80985</v>
      </c>
      <c r="R38" s="194">
        <v>327459.70250000001</v>
      </c>
      <c r="S38" s="194">
        <v>6049.25</v>
      </c>
      <c r="T38" s="70">
        <v>1596.2975000000006</v>
      </c>
      <c r="U38" s="80">
        <v>81753.173721494197</v>
      </c>
      <c r="V38" s="73"/>
      <c r="X38" s="30"/>
      <c r="Y38" s="54">
        <v>29</v>
      </c>
      <c r="Z38" s="70">
        <v>45743.94999999999</v>
      </c>
      <c r="AA38" s="75">
        <v>11302</v>
      </c>
      <c r="AB38" s="75">
        <v>8271.4</v>
      </c>
      <c r="AC38" s="75">
        <v>74442.600000000006</v>
      </c>
      <c r="AD38" s="194">
        <v>325100.3</v>
      </c>
      <c r="AE38" s="194">
        <v>7135.7</v>
      </c>
      <c r="AF38" s="76">
        <v>0.1</v>
      </c>
      <c r="AG38" s="70">
        <v>3955.7000000000012</v>
      </c>
      <c r="AH38" s="31"/>
    </row>
    <row r="39" spans="3:34" x14ac:dyDescent="0.25">
      <c r="C39" s="72"/>
      <c r="D39" s="54">
        <v>30</v>
      </c>
      <c r="E39" s="70">
        <v>44493.59</v>
      </c>
      <c r="F39" s="75">
        <v>6539</v>
      </c>
      <c r="G39" s="75">
        <v>87477</v>
      </c>
      <c r="H39" s="194">
        <v>329056</v>
      </c>
      <c r="I39" s="194">
        <v>12341.76</v>
      </c>
      <c r="J39" s="75">
        <v>81753.173721494197</v>
      </c>
      <c r="K39" s="73"/>
      <c r="M39" s="72"/>
      <c r="N39" s="54">
        <v>30</v>
      </c>
      <c r="O39" s="70">
        <v>49455.877500000024</v>
      </c>
      <c r="P39" s="75">
        <v>9361</v>
      </c>
      <c r="Q39" s="75">
        <v>84655</v>
      </c>
      <c r="R39" s="194">
        <v>327909.27750000003</v>
      </c>
      <c r="S39" s="194">
        <v>6232.75</v>
      </c>
      <c r="T39" s="70">
        <v>1146.7225000000005</v>
      </c>
      <c r="U39" s="80">
        <v>81753.173721494197</v>
      </c>
      <c r="V39" s="73"/>
      <c r="X39" s="30"/>
      <c r="Y39" s="54">
        <v>30</v>
      </c>
      <c r="Z39" s="70">
        <v>86665.000000000015</v>
      </c>
      <c r="AA39" s="75">
        <v>15923</v>
      </c>
      <c r="AB39" s="75">
        <v>6324.920000000001</v>
      </c>
      <c r="AC39" s="75">
        <v>84031.08</v>
      </c>
      <c r="AD39" s="194">
        <v>366403.45</v>
      </c>
      <c r="AE39" s="194">
        <v>7517.8</v>
      </c>
      <c r="AF39" s="76">
        <v>7.0000000000000007E-2</v>
      </c>
      <c r="AG39" s="70">
        <v>5573.0500000000011</v>
      </c>
      <c r="AH39" s="31"/>
    </row>
    <row r="40" spans="3:34" x14ac:dyDescent="0.25">
      <c r="C40" s="72"/>
      <c r="D40" s="54">
        <v>31</v>
      </c>
      <c r="E40" s="70">
        <v>44493.59</v>
      </c>
      <c r="F40" s="75">
        <v>4796</v>
      </c>
      <c r="G40" s="75">
        <v>89220</v>
      </c>
      <c r="H40" s="194">
        <v>329056</v>
      </c>
      <c r="I40" s="194">
        <v>12341.76</v>
      </c>
      <c r="J40" s="75">
        <v>81753.173721494197</v>
      </c>
      <c r="K40" s="73"/>
      <c r="M40" s="72"/>
      <c r="N40" s="54">
        <v>31</v>
      </c>
      <c r="O40" s="70">
        <v>35379.755000000019</v>
      </c>
      <c r="P40" s="75">
        <v>8982</v>
      </c>
      <c r="Q40" s="75">
        <v>80946</v>
      </c>
      <c r="R40" s="194">
        <v>313647.70500000002</v>
      </c>
      <c r="S40" s="194">
        <v>6047.3</v>
      </c>
      <c r="T40" s="70">
        <v>1100.2950000000005</v>
      </c>
      <c r="U40" s="80">
        <v>81753.173721494197</v>
      </c>
      <c r="V40" s="73"/>
      <c r="X40" s="30"/>
      <c r="Y40" s="54">
        <v>31</v>
      </c>
      <c r="Z40" s="70">
        <v>87304.9</v>
      </c>
      <c r="AA40" s="75">
        <v>13790</v>
      </c>
      <c r="AB40" s="75">
        <v>5549.34</v>
      </c>
      <c r="AC40" s="75">
        <v>86939.66</v>
      </c>
      <c r="AD40" s="194">
        <v>367150</v>
      </c>
      <c r="AE40" s="194">
        <v>7624.45</v>
      </c>
      <c r="AF40" s="76">
        <v>0.06</v>
      </c>
      <c r="AG40" s="70">
        <v>4826.5000000000009</v>
      </c>
      <c r="AH40" s="31"/>
    </row>
    <row r="41" spans="3:34" x14ac:dyDescent="0.25">
      <c r="C41" s="72"/>
      <c r="D41" s="54">
        <v>32</v>
      </c>
      <c r="E41" s="70">
        <v>58351.91</v>
      </c>
      <c r="F41" s="75">
        <v>4965</v>
      </c>
      <c r="G41" s="75">
        <v>93139</v>
      </c>
      <c r="H41" s="194">
        <v>343364</v>
      </c>
      <c r="I41" s="194">
        <v>12791.44</v>
      </c>
      <c r="J41" s="75">
        <v>81753.173721494197</v>
      </c>
      <c r="K41" s="73"/>
      <c r="M41" s="72"/>
      <c r="N41" s="54">
        <v>32</v>
      </c>
      <c r="O41" s="70">
        <v>91369.479999999981</v>
      </c>
      <c r="P41" s="75">
        <v>14792</v>
      </c>
      <c r="Q41" s="75">
        <v>91487</v>
      </c>
      <c r="R41" s="194">
        <v>370164.47999999998</v>
      </c>
      <c r="S41" s="194">
        <v>6574.35</v>
      </c>
      <c r="T41" s="70">
        <v>1812.0200000000009</v>
      </c>
      <c r="U41" s="80">
        <v>81753.173721494197</v>
      </c>
      <c r="V41" s="73"/>
      <c r="X41" s="30"/>
      <c r="Y41" s="54">
        <v>32</v>
      </c>
      <c r="Z41" s="70">
        <v>31050.55000000001</v>
      </c>
      <c r="AA41" s="75">
        <v>13268</v>
      </c>
      <c r="AB41" s="75">
        <v>7666</v>
      </c>
      <c r="AC41" s="75">
        <v>68994</v>
      </c>
      <c r="AD41" s="194">
        <v>310104.2</v>
      </c>
      <c r="AE41" s="194">
        <v>6833</v>
      </c>
      <c r="AF41" s="76">
        <v>0.1</v>
      </c>
      <c r="AG41" s="70">
        <v>4643.8000000000011</v>
      </c>
      <c r="AH41" s="31"/>
    </row>
    <row r="42" spans="3:34" x14ac:dyDescent="0.25">
      <c r="C42" s="72"/>
      <c r="D42" s="54">
        <v>33</v>
      </c>
      <c r="E42" s="70">
        <v>44493.59</v>
      </c>
      <c r="F42" s="75">
        <v>5602</v>
      </c>
      <c r="G42" s="75">
        <v>88414</v>
      </c>
      <c r="H42" s="194">
        <v>329056</v>
      </c>
      <c r="I42" s="194">
        <v>12341.76</v>
      </c>
      <c r="J42" s="75">
        <v>81753.173721494197</v>
      </c>
      <c r="K42" s="73"/>
      <c r="M42" s="72"/>
      <c r="N42" s="54">
        <v>33</v>
      </c>
      <c r="O42" s="70">
        <v>63454.787500000013</v>
      </c>
      <c r="P42" s="75">
        <v>10805</v>
      </c>
      <c r="Q42" s="75">
        <v>87299</v>
      </c>
      <c r="R42" s="194">
        <v>342040.38750000001</v>
      </c>
      <c r="S42" s="194">
        <v>6364.95</v>
      </c>
      <c r="T42" s="70">
        <v>1323.6125000000006</v>
      </c>
      <c r="U42" s="80">
        <v>81753.173721494197</v>
      </c>
      <c r="V42" s="73"/>
      <c r="X42" s="30"/>
      <c r="Y42" s="54">
        <v>33</v>
      </c>
      <c r="Z42" s="70">
        <v>86953.9</v>
      </c>
      <c r="AA42" s="75">
        <v>14960</v>
      </c>
      <c r="AB42" s="75">
        <v>5479.1399999999994</v>
      </c>
      <c r="AC42" s="75">
        <v>85839.86</v>
      </c>
      <c r="AD42" s="194">
        <v>366740.5</v>
      </c>
      <c r="AE42" s="194">
        <v>7565.95</v>
      </c>
      <c r="AF42" s="76">
        <v>0.06</v>
      </c>
      <c r="AG42" s="70">
        <v>5236.0000000000009</v>
      </c>
      <c r="AH42" s="31"/>
    </row>
    <row r="43" spans="3:34" x14ac:dyDescent="0.25">
      <c r="C43" s="72"/>
      <c r="D43" s="54">
        <v>34</v>
      </c>
      <c r="E43" s="70">
        <v>44493.59</v>
      </c>
      <c r="F43" s="75">
        <v>5625</v>
      </c>
      <c r="G43" s="75">
        <v>88391</v>
      </c>
      <c r="H43" s="194">
        <v>329056</v>
      </c>
      <c r="I43" s="194">
        <v>12341.76</v>
      </c>
      <c r="J43" s="75">
        <v>81753.173721494197</v>
      </c>
      <c r="K43" s="73"/>
      <c r="M43" s="72"/>
      <c r="N43" s="54">
        <v>34</v>
      </c>
      <c r="O43" s="70">
        <v>91288.352499999964</v>
      </c>
      <c r="P43" s="75">
        <v>15911</v>
      </c>
      <c r="Q43" s="75">
        <v>90368</v>
      </c>
      <c r="R43" s="194">
        <v>370027.40249999997</v>
      </c>
      <c r="S43" s="194">
        <v>6518.4000000000005</v>
      </c>
      <c r="T43" s="70">
        <v>1949.0975000000008</v>
      </c>
      <c r="U43" s="80">
        <v>81753.173721494197</v>
      </c>
      <c r="V43" s="73"/>
      <c r="X43" s="30"/>
      <c r="Y43" s="54">
        <v>34</v>
      </c>
      <c r="Z43" s="70">
        <v>31579.749999999978</v>
      </c>
      <c r="AA43" s="75">
        <v>11504</v>
      </c>
      <c r="AB43" s="75">
        <v>7842.4000000000005</v>
      </c>
      <c r="AC43" s="75">
        <v>70581.600000000006</v>
      </c>
      <c r="AD43" s="194">
        <v>310721.59999999998</v>
      </c>
      <c r="AE43" s="194">
        <v>6921.2000000000007</v>
      </c>
      <c r="AF43" s="76">
        <v>0.1</v>
      </c>
      <c r="AG43" s="70">
        <v>4026.400000000001</v>
      </c>
      <c r="AH43" s="31"/>
    </row>
    <row r="44" spans="3:34" x14ac:dyDescent="0.25">
      <c r="C44" s="72"/>
      <c r="D44" s="54">
        <v>35</v>
      </c>
      <c r="E44" s="70">
        <v>30635.27</v>
      </c>
      <c r="F44" s="75">
        <v>4516</v>
      </c>
      <c r="G44" s="75">
        <v>85412</v>
      </c>
      <c r="H44" s="194">
        <v>314748</v>
      </c>
      <c r="I44" s="194">
        <v>11892.08</v>
      </c>
      <c r="J44" s="75">
        <v>81753.173721494197</v>
      </c>
      <c r="K44" s="73"/>
      <c r="M44" s="72"/>
      <c r="N44" s="54">
        <v>35</v>
      </c>
      <c r="O44" s="70">
        <v>63233.80750000001</v>
      </c>
      <c r="P44" s="75">
        <v>13853</v>
      </c>
      <c r="Q44" s="75">
        <v>84251</v>
      </c>
      <c r="R44" s="194">
        <v>341667.00750000001</v>
      </c>
      <c r="S44" s="194">
        <v>6212.55</v>
      </c>
      <c r="T44" s="70">
        <v>1696.9925000000007</v>
      </c>
      <c r="U44" s="80">
        <v>81753.173721494197</v>
      </c>
      <c r="V44" s="73"/>
      <c r="X44" s="30"/>
      <c r="Y44" s="54">
        <v>35</v>
      </c>
      <c r="Z44" s="70">
        <v>31497.249999999978</v>
      </c>
      <c r="AA44" s="75">
        <v>11779</v>
      </c>
      <c r="AB44" s="75">
        <v>7814.9000000000005</v>
      </c>
      <c r="AC44" s="75">
        <v>70334.100000000006</v>
      </c>
      <c r="AD44" s="194">
        <v>310625.34999999998</v>
      </c>
      <c r="AE44" s="194">
        <v>6907.4500000000007</v>
      </c>
      <c r="AF44" s="76">
        <v>0.1</v>
      </c>
      <c r="AG44" s="70">
        <v>4122.6500000000015</v>
      </c>
      <c r="AH44" s="31"/>
    </row>
    <row r="45" spans="3:34" x14ac:dyDescent="0.25">
      <c r="C45" s="72"/>
      <c r="D45" s="54">
        <v>36</v>
      </c>
      <c r="E45" s="70">
        <v>58351.91</v>
      </c>
      <c r="F45" s="75">
        <v>6866</v>
      </c>
      <c r="G45" s="75">
        <v>91238</v>
      </c>
      <c r="H45" s="194">
        <v>343364</v>
      </c>
      <c r="I45" s="194">
        <v>12791.44</v>
      </c>
      <c r="J45" s="75">
        <v>81753.173721494197</v>
      </c>
      <c r="K45" s="73"/>
      <c r="M45" s="72"/>
      <c r="N45" s="54">
        <v>36</v>
      </c>
      <c r="O45" s="70">
        <v>35061.479999999996</v>
      </c>
      <c r="P45" s="75">
        <v>13372</v>
      </c>
      <c r="Q45" s="75">
        <v>76556</v>
      </c>
      <c r="R45" s="194">
        <v>313109.93</v>
      </c>
      <c r="S45" s="194">
        <v>5827.8</v>
      </c>
      <c r="T45" s="70">
        <v>1638.0700000000006</v>
      </c>
      <c r="U45" s="80">
        <v>81753.173721494197</v>
      </c>
      <c r="V45" s="73"/>
      <c r="X45" s="30"/>
      <c r="Y45" s="54">
        <v>36</v>
      </c>
      <c r="Z45" s="70">
        <v>31229.650000000023</v>
      </c>
      <c r="AA45" s="75">
        <v>12671</v>
      </c>
      <c r="AB45" s="75">
        <v>7725.7000000000007</v>
      </c>
      <c r="AC45" s="75">
        <v>69531.3</v>
      </c>
      <c r="AD45" s="194">
        <v>310313.15000000002</v>
      </c>
      <c r="AE45" s="194">
        <v>6862.85</v>
      </c>
      <c r="AF45" s="76">
        <v>0.1</v>
      </c>
      <c r="AG45" s="70">
        <v>4434.8500000000013</v>
      </c>
      <c r="AH45" s="31"/>
    </row>
    <row r="46" spans="3:34" x14ac:dyDescent="0.25">
      <c r="C46" s="72"/>
      <c r="D46" s="54">
        <v>37</v>
      </c>
      <c r="E46" s="70">
        <v>30635.27</v>
      </c>
      <c r="F46" s="75">
        <v>8021</v>
      </c>
      <c r="G46" s="75">
        <v>81907</v>
      </c>
      <c r="H46" s="194">
        <v>314748</v>
      </c>
      <c r="I46" s="194">
        <v>11892.08</v>
      </c>
      <c r="J46" s="75">
        <v>81753.173721494197</v>
      </c>
      <c r="K46" s="73"/>
      <c r="M46" s="72"/>
      <c r="N46" s="54">
        <v>37</v>
      </c>
      <c r="O46" s="70">
        <v>49117.954999999994</v>
      </c>
      <c r="P46" s="75">
        <v>14022</v>
      </c>
      <c r="Q46" s="75">
        <v>79994</v>
      </c>
      <c r="R46" s="194">
        <v>327338.30499999999</v>
      </c>
      <c r="S46" s="194">
        <v>5999.7000000000007</v>
      </c>
      <c r="T46" s="70">
        <v>1717.6950000000008</v>
      </c>
      <c r="U46" s="80">
        <v>81753.173721494197</v>
      </c>
      <c r="V46" s="73"/>
      <c r="X46" s="30"/>
      <c r="Y46" s="54">
        <v>37</v>
      </c>
      <c r="Z46" s="70">
        <v>87601.000000000015</v>
      </c>
      <c r="AA46" s="75">
        <v>12803</v>
      </c>
      <c r="AB46" s="75">
        <v>9347.6</v>
      </c>
      <c r="AC46" s="75">
        <v>84128.4</v>
      </c>
      <c r="AD46" s="194">
        <v>367495.45</v>
      </c>
      <c r="AE46" s="194">
        <v>7673.8</v>
      </c>
      <c r="AF46" s="76">
        <v>0.1</v>
      </c>
      <c r="AG46" s="70">
        <v>4481.0500000000011</v>
      </c>
      <c r="AH46" s="31"/>
    </row>
    <row r="47" spans="3:34" x14ac:dyDescent="0.25">
      <c r="C47" s="72"/>
      <c r="D47" s="54">
        <v>38</v>
      </c>
      <c r="E47" s="70">
        <v>30635.27</v>
      </c>
      <c r="F47" s="75">
        <v>4503</v>
      </c>
      <c r="G47" s="75">
        <v>85425</v>
      </c>
      <c r="H47" s="194">
        <v>314748</v>
      </c>
      <c r="I47" s="194">
        <v>11892.08</v>
      </c>
      <c r="J47" s="75">
        <v>81753.173721494197</v>
      </c>
      <c r="K47" s="73"/>
      <c r="M47" s="72"/>
      <c r="N47" s="54">
        <v>38</v>
      </c>
      <c r="O47" s="70">
        <v>63251.062499999978</v>
      </c>
      <c r="P47" s="75">
        <v>13615</v>
      </c>
      <c r="Q47" s="75">
        <v>84489</v>
      </c>
      <c r="R47" s="194">
        <v>341696.16249999998</v>
      </c>
      <c r="S47" s="194">
        <v>6224.45</v>
      </c>
      <c r="T47" s="70">
        <v>1667.8375000000008</v>
      </c>
      <c r="U47" s="80">
        <v>81753.173721494197</v>
      </c>
      <c r="V47" s="73"/>
      <c r="X47" s="30"/>
      <c r="Y47" s="54">
        <v>38</v>
      </c>
      <c r="Z47" s="70">
        <v>45155.650000000009</v>
      </c>
      <c r="AA47" s="75">
        <v>13263</v>
      </c>
      <c r="AB47" s="75">
        <v>6460.24</v>
      </c>
      <c r="AC47" s="75">
        <v>74292.759999999995</v>
      </c>
      <c r="AD47" s="194">
        <v>324413.95</v>
      </c>
      <c r="AE47" s="194">
        <v>7037.65</v>
      </c>
      <c r="AF47" s="76">
        <v>0.08</v>
      </c>
      <c r="AG47" s="70">
        <v>4642.0500000000011</v>
      </c>
      <c r="AH47" s="31"/>
    </row>
    <row r="48" spans="3:34" x14ac:dyDescent="0.25">
      <c r="C48" s="72"/>
      <c r="D48" s="54">
        <v>39</v>
      </c>
      <c r="E48" s="70">
        <v>58351.91</v>
      </c>
      <c r="F48" s="75">
        <v>5951</v>
      </c>
      <c r="G48" s="75">
        <v>92153</v>
      </c>
      <c r="H48" s="194">
        <v>343364</v>
      </c>
      <c r="I48" s="194">
        <v>12791.44</v>
      </c>
      <c r="J48" s="75">
        <v>81753.173721494197</v>
      </c>
      <c r="K48" s="73"/>
      <c r="M48" s="72"/>
      <c r="N48" s="54">
        <v>39</v>
      </c>
      <c r="O48" s="70">
        <v>49121.434999999998</v>
      </c>
      <c r="P48" s="75">
        <v>13974</v>
      </c>
      <c r="Q48" s="75">
        <v>80042</v>
      </c>
      <c r="R48" s="194">
        <v>327344.185</v>
      </c>
      <c r="S48" s="194">
        <v>6002.1</v>
      </c>
      <c r="T48" s="70">
        <v>1711.8150000000007</v>
      </c>
      <c r="U48" s="80">
        <v>81753.173721494197</v>
      </c>
      <c r="V48" s="73"/>
      <c r="X48" s="30"/>
      <c r="Y48" s="54">
        <v>39</v>
      </c>
      <c r="Z48" s="70">
        <v>59442.250000000015</v>
      </c>
      <c r="AA48" s="75">
        <v>12653</v>
      </c>
      <c r="AB48" s="75">
        <v>5981.5700000000006</v>
      </c>
      <c r="AC48" s="75">
        <v>79469.429999999993</v>
      </c>
      <c r="AD48" s="194">
        <v>338935.45</v>
      </c>
      <c r="AE48" s="194">
        <v>7272.55</v>
      </c>
      <c r="AF48" s="76">
        <v>7.0000000000000007E-2</v>
      </c>
      <c r="AG48" s="70">
        <v>4428.5500000000011</v>
      </c>
      <c r="AH48" s="31"/>
    </row>
    <row r="49" spans="3:34" x14ac:dyDescent="0.25">
      <c r="C49" s="72"/>
      <c r="D49" s="54">
        <v>40</v>
      </c>
      <c r="E49" s="70">
        <v>58351.91</v>
      </c>
      <c r="F49" s="75">
        <v>8839</v>
      </c>
      <c r="G49" s="75">
        <v>89265</v>
      </c>
      <c r="H49" s="194">
        <v>343364</v>
      </c>
      <c r="I49" s="194">
        <v>12791.44</v>
      </c>
      <c r="J49" s="75">
        <v>81753.173721494197</v>
      </c>
      <c r="K49" s="73"/>
      <c r="M49" s="72"/>
      <c r="N49" s="54">
        <v>40</v>
      </c>
      <c r="O49" s="70">
        <v>91284.292499999981</v>
      </c>
      <c r="P49" s="75">
        <v>15967</v>
      </c>
      <c r="Q49" s="75">
        <v>90312</v>
      </c>
      <c r="R49" s="194">
        <v>370020.54249999998</v>
      </c>
      <c r="S49" s="194">
        <v>6515.6</v>
      </c>
      <c r="T49" s="70">
        <v>1955.9575000000009</v>
      </c>
      <c r="U49" s="80">
        <v>81753.173721494197</v>
      </c>
      <c r="V49" s="73"/>
      <c r="X49" s="30"/>
      <c r="Y49" s="54">
        <v>40</v>
      </c>
      <c r="Z49" s="70">
        <v>45483.250000000022</v>
      </c>
      <c r="AA49" s="75">
        <v>12171</v>
      </c>
      <c r="AB49" s="75">
        <v>5729.1500000000005</v>
      </c>
      <c r="AC49" s="75">
        <v>76115.850000000006</v>
      </c>
      <c r="AD49" s="194">
        <v>324796.15000000002</v>
      </c>
      <c r="AE49" s="194">
        <v>7092.25</v>
      </c>
      <c r="AF49" s="76">
        <v>7.0000000000000007E-2</v>
      </c>
      <c r="AG49" s="70">
        <v>4259.8500000000013</v>
      </c>
      <c r="AH49" s="31"/>
    </row>
    <row r="50" spans="3:34" x14ac:dyDescent="0.25">
      <c r="C50" s="72"/>
      <c r="D50" s="54">
        <v>41</v>
      </c>
      <c r="E50" s="70">
        <v>58351.91</v>
      </c>
      <c r="F50" s="75">
        <v>6952</v>
      </c>
      <c r="G50" s="75">
        <v>91152</v>
      </c>
      <c r="H50" s="194">
        <v>343364</v>
      </c>
      <c r="I50" s="194">
        <v>12791.44</v>
      </c>
      <c r="J50" s="75">
        <v>81753.173721494197</v>
      </c>
      <c r="K50" s="73"/>
      <c r="M50" s="72"/>
      <c r="N50" s="54">
        <v>41</v>
      </c>
      <c r="O50" s="70">
        <v>49397.514999999978</v>
      </c>
      <c r="P50" s="75">
        <v>10166</v>
      </c>
      <c r="Q50" s="75">
        <v>83850</v>
      </c>
      <c r="R50" s="194">
        <v>327810.66499999998</v>
      </c>
      <c r="S50" s="194">
        <v>6192.5</v>
      </c>
      <c r="T50" s="70">
        <v>1245.3350000000005</v>
      </c>
      <c r="U50" s="80">
        <v>81753.173721494197</v>
      </c>
      <c r="V50" s="73"/>
      <c r="X50" s="30"/>
      <c r="Y50" s="54">
        <v>41</v>
      </c>
      <c r="Z50" s="70">
        <v>45725.05</v>
      </c>
      <c r="AA50" s="75">
        <v>11365</v>
      </c>
      <c r="AB50" s="75">
        <v>8265.1</v>
      </c>
      <c r="AC50" s="75">
        <v>74385.899999999994</v>
      </c>
      <c r="AD50" s="194">
        <v>325078.25</v>
      </c>
      <c r="AE50" s="194">
        <v>7132.55</v>
      </c>
      <c r="AF50" s="76">
        <v>0.1</v>
      </c>
      <c r="AG50" s="70">
        <v>3977.7500000000009</v>
      </c>
      <c r="AH50" s="31"/>
    </row>
    <row r="51" spans="3:34" x14ac:dyDescent="0.25">
      <c r="C51" s="72"/>
      <c r="D51" s="54">
        <v>42</v>
      </c>
      <c r="E51" s="70">
        <v>58351.91</v>
      </c>
      <c r="F51" s="75">
        <v>5012</v>
      </c>
      <c r="G51" s="75">
        <v>93092</v>
      </c>
      <c r="H51" s="194">
        <v>343364</v>
      </c>
      <c r="I51" s="194">
        <v>12791.44</v>
      </c>
      <c r="J51" s="75">
        <v>81753.173721494197</v>
      </c>
      <c r="K51" s="73"/>
      <c r="M51" s="72"/>
      <c r="N51" s="54">
        <v>42</v>
      </c>
      <c r="O51" s="70">
        <v>49116.794999999969</v>
      </c>
      <c r="P51" s="75">
        <v>14038</v>
      </c>
      <c r="Q51" s="75">
        <v>79978</v>
      </c>
      <c r="R51" s="194">
        <v>327336.34499999997</v>
      </c>
      <c r="S51" s="194">
        <v>5998.9</v>
      </c>
      <c r="T51" s="70">
        <v>1719.6550000000007</v>
      </c>
      <c r="U51" s="80">
        <v>81753.173721494197</v>
      </c>
      <c r="V51" s="73"/>
      <c r="X51" s="30"/>
      <c r="Y51" s="54">
        <v>42</v>
      </c>
      <c r="Z51" s="70">
        <v>45754.150000000009</v>
      </c>
      <c r="AA51" s="75">
        <v>11268</v>
      </c>
      <c r="AB51" s="75">
        <v>6619.84</v>
      </c>
      <c r="AC51" s="75">
        <v>76128.160000000003</v>
      </c>
      <c r="AD51" s="194">
        <v>325112.2</v>
      </c>
      <c r="AE51" s="194">
        <v>7137.4000000000005</v>
      </c>
      <c r="AF51" s="76">
        <v>0.08</v>
      </c>
      <c r="AG51" s="70">
        <v>3943.8000000000011</v>
      </c>
      <c r="AH51" s="31"/>
    </row>
    <row r="52" spans="3:34" x14ac:dyDescent="0.25">
      <c r="C52" s="72"/>
      <c r="D52" s="54">
        <v>43</v>
      </c>
      <c r="E52" s="70">
        <v>58351.91</v>
      </c>
      <c r="F52" s="75">
        <v>4815</v>
      </c>
      <c r="G52" s="75">
        <v>93289</v>
      </c>
      <c r="H52" s="194">
        <v>343364</v>
      </c>
      <c r="I52" s="194">
        <v>12791.44</v>
      </c>
      <c r="J52" s="75">
        <v>81753.173721494197</v>
      </c>
      <c r="K52" s="73"/>
      <c r="M52" s="72"/>
      <c r="N52" s="54">
        <v>43</v>
      </c>
      <c r="O52" s="70">
        <v>49306.020000000004</v>
      </c>
      <c r="P52" s="75">
        <v>11428</v>
      </c>
      <c r="Q52" s="75">
        <v>82588</v>
      </c>
      <c r="R52" s="194">
        <v>327656.07</v>
      </c>
      <c r="S52" s="194">
        <v>6129.4000000000005</v>
      </c>
      <c r="T52" s="70">
        <v>1399.9300000000005</v>
      </c>
      <c r="U52" s="80">
        <v>81753.173721494197</v>
      </c>
      <c r="V52" s="73"/>
      <c r="X52" s="30"/>
      <c r="Y52" s="54">
        <v>43</v>
      </c>
      <c r="Z52" s="70">
        <v>45233.349999999977</v>
      </c>
      <c r="AA52" s="75">
        <v>13004</v>
      </c>
      <c r="AB52" s="75">
        <v>4860.72</v>
      </c>
      <c r="AC52" s="75">
        <v>76151.28</v>
      </c>
      <c r="AD52" s="194">
        <v>324504.59999999998</v>
      </c>
      <c r="AE52" s="194">
        <v>7050.6</v>
      </c>
      <c r="AF52" s="76">
        <v>0.06</v>
      </c>
      <c r="AG52" s="70">
        <v>4551.4000000000015</v>
      </c>
      <c r="AH52" s="31"/>
    </row>
    <row r="53" spans="3:34" x14ac:dyDescent="0.25">
      <c r="C53" s="72"/>
      <c r="D53" s="54">
        <v>44</v>
      </c>
      <c r="E53" s="70">
        <v>30635.27</v>
      </c>
      <c r="F53" s="75">
        <v>5603</v>
      </c>
      <c r="G53" s="75">
        <v>84325</v>
      </c>
      <c r="H53" s="194">
        <v>314748</v>
      </c>
      <c r="I53" s="194">
        <v>11892.08</v>
      </c>
      <c r="J53" s="75">
        <v>81753.173721494197</v>
      </c>
      <c r="K53" s="73"/>
      <c r="M53" s="72"/>
      <c r="N53" s="54">
        <v>44</v>
      </c>
      <c r="O53" s="70">
        <v>63160.727499999964</v>
      </c>
      <c r="P53" s="75">
        <v>14861</v>
      </c>
      <c r="Q53" s="75">
        <v>83243</v>
      </c>
      <c r="R53" s="194">
        <v>341543.52749999997</v>
      </c>
      <c r="S53" s="194">
        <v>6162.1500000000005</v>
      </c>
      <c r="T53" s="70">
        <v>1820.4725000000008</v>
      </c>
      <c r="U53" s="80">
        <v>81753.173721494197</v>
      </c>
      <c r="V53" s="73"/>
      <c r="X53" s="30"/>
      <c r="Y53" s="54">
        <v>44</v>
      </c>
      <c r="Z53" s="70">
        <v>87937.000000000015</v>
      </c>
      <c r="AA53" s="75">
        <v>11683</v>
      </c>
      <c r="AB53" s="75">
        <v>7567.68</v>
      </c>
      <c r="AC53" s="75">
        <v>87028.32</v>
      </c>
      <c r="AD53" s="194">
        <v>367887.45</v>
      </c>
      <c r="AE53" s="194">
        <v>7729.8</v>
      </c>
      <c r="AF53" s="76">
        <v>0.08</v>
      </c>
      <c r="AG53" s="70">
        <v>4089.0500000000011</v>
      </c>
      <c r="AH53" s="31"/>
    </row>
    <row r="54" spans="3:34" x14ac:dyDescent="0.25">
      <c r="C54" s="72"/>
      <c r="D54" s="54">
        <v>45</v>
      </c>
      <c r="E54" s="70">
        <v>44493.59</v>
      </c>
      <c r="F54" s="75">
        <v>9398</v>
      </c>
      <c r="G54" s="75">
        <v>84618</v>
      </c>
      <c r="H54" s="194">
        <v>329056</v>
      </c>
      <c r="I54" s="194">
        <v>12341.76</v>
      </c>
      <c r="J54" s="75">
        <v>81753.173721494197</v>
      </c>
      <c r="K54" s="73"/>
      <c r="M54" s="72"/>
      <c r="N54" s="54">
        <v>45</v>
      </c>
      <c r="O54" s="70">
        <v>35045.457499999982</v>
      </c>
      <c r="P54" s="75">
        <v>13593</v>
      </c>
      <c r="Q54" s="75">
        <v>76335</v>
      </c>
      <c r="R54" s="194">
        <v>313082.85749999998</v>
      </c>
      <c r="S54" s="194">
        <v>5816.75</v>
      </c>
      <c r="T54" s="70">
        <v>1665.1425000000008</v>
      </c>
      <c r="U54" s="80">
        <v>81753.173721494197</v>
      </c>
      <c r="V54" s="73"/>
      <c r="X54" s="30"/>
      <c r="Y54" s="54">
        <v>45</v>
      </c>
      <c r="Z54" s="70">
        <v>45181.44999999999</v>
      </c>
      <c r="AA54" s="75">
        <v>13177</v>
      </c>
      <c r="AB54" s="75">
        <v>7275.5099999999993</v>
      </c>
      <c r="AC54" s="75">
        <v>73563.490000000005</v>
      </c>
      <c r="AD54" s="194">
        <v>324444.05</v>
      </c>
      <c r="AE54" s="194">
        <v>7041.9500000000007</v>
      </c>
      <c r="AF54" s="76">
        <v>0.09</v>
      </c>
      <c r="AG54" s="70">
        <v>4611.9500000000007</v>
      </c>
      <c r="AH54" s="31"/>
    </row>
    <row r="55" spans="3:34" x14ac:dyDescent="0.25">
      <c r="C55" s="72"/>
      <c r="D55" s="54">
        <v>46</v>
      </c>
      <c r="E55" s="70">
        <v>44493.59</v>
      </c>
      <c r="F55" s="75">
        <v>7627</v>
      </c>
      <c r="G55" s="75">
        <v>86389</v>
      </c>
      <c r="H55" s="194">
        <v>329056</v>
      </c>
      <c r="I55" s="194">
        <v>12341.76</v>
      </c>
      <c r="J55" s="75">
        <v>81753.173721494197</v>
      </c>
      <c r="K55" s="73"/>
      <c r="M55" s="72"/>
      <c r="N55" s="54">
        <v>46</v>
      </c>
      <c r="O55" s="70">
        <v>35059.594999999994</v>
      </c>
      <c r="P55" s="75">
        <v>13398</v>
      </c>
      <c r="Q55" s="75">
        <v>76530</v>
      </c>
      <c r="R55" s="194">
        <v>313106.745</v>
      </c>
      <c r="S55" s="194">
        <v>5826.5</v>
      </c>
      <c r="T55" s="70">
        <v>1641.2550000000008</v>
      </c>
      <c r="U55" s="80">
        <v>81753.173721494197</v>
      </c>
      <c r="V55" s="73"/>
      <c r="X55" s="30"/>
      <c r="Y55" s="54">
        <v>46</v>
      </c>
      <c r="Z55" s="70">
        <v>86689.9</v>
      </c>
      <c r="AA55" s="75">
        <v>15840</v>
      </c>
      <c r="AB55" s="75">
        <v>7235.12</v>
      </c>
      <c r="AC55" s="75">
        <v>83203.88</v>
      </c>
      <c r="AD55" s="194">
        <v>366432.5</v>
      </c>
      <c r="AE55" s="194">
        <v>7521.95</v>
      </c>
      <c r="AF55" s="76">
        <v>0.08</v>
      </c>
      <c r="AG55" s="70">
        <v>5544.0000000000018</v>
      </c>
      <c r="AH55" s="31"/>
    </row>
    <row r="56" spans="3:34" x14ac:dyDescent="0.25">
      <c r="C56" s="72"/>
      <c r="D56" s="54">
        <v>47</v>
      </c>
      <c r="E56" s="70">
        <v>44493.59</v>
      </c>
      <c r="F56" s="75">
        <v>5622</v>
      </c>
      <c r="G56" s="75">
        <v>88394</v>
      </c>
      <c r="H56" s="194">
        <v>329056</v>
      </c>
      <c r="I56" s="194">
        <v>12341.76</v>
      </c>
      <c r="J56" s="75">
        <v>81753.173721494197</v>
      </c>
      <c r="K56" s="73"/>
      <c r="M56" s="72"/>
      <c r="N56" s="54">
        <v>47</v>
      </c>
      <c r="O56" s="70">
        <v>49455.442499999983</v>
      </c>
      <c r="P56" s="75">
        <v>9367</v>
      </c>
      <c r="Q56" s="75">
        <v>84649</v>
      </c>
      <c r="R56" s="194">
        <v>327908.54249999998</v>
      </c>
      <c r="S56" s="194">
        <v>6232.45</v>
      </c>
      <c r="T56" s="70">
        <v>1147.4575000000004</v>
      </c>
      <c r="U56" s="80">
        <v>81753.173721494197</v>
      </c>
      <c r="V56" s="73"/>
      <c r="X56" s="30"/>
      <c r="Y56" s="54">
        <v>47</v>
      </c>
      <c r="Z56" s="70">
        <v>46042.44999999999</v>
      </c>
      <c r="AA56" s="75">
        <v>10307</v>
      </c>
      <c r="AB56" s="75">
        <v>5859.63</v>
      </c>
      <c r="AC56" s="75">
        <v>77849.37</v>
      </c>
      <c r="AD56" s="194">
        <v>325448.55</v>
      </c>
      <c r="AE56" s="194">
        <v>7185.45</v>
      </c>
      <c r="AF56" s="76">
        <v>7.0000000000000007E-2</v>
      </c>
      <c r="AG56" s="70">
        <v>3607.4500000000007</v>
      </c>
      <c r="AH56" s="31"/>
    </row>
    <row r="57" spans="3:34" x14ac:dyDescent="0.25">
      <c r="C57" s="72"/>
      <c r="D57" s="54">
        <v>48</v>
      </c>
      <c r="E57" s="70">
        <v>58351.91</v>
      </c>
      <c r="F57" s="75">
        <v>9939</v>
      </c>
      <c r="G57" s="75">
        <v>88165</v>
      </c>
      <c r="H57" s="194">
        <v>343364</v>
      </c>
      <c r="I57" s="194">
        <v>12791.44</v>
      </c>
      <c r="J57" s="75">
        <v>81753.173721494197</v>
      </c>
      <c r="K57" s="73"/>
      <c r="M57" s="72"/>
      <c r="N57" s="54">
        <v>48</v>
      </c>
      <c r="O57" s="70">
        <v>63165.15</v>
      </c>
      <c r="P57" s="75">
        <v>14800</v>
      </c>
      <c r="Q57" s="75">
        <v>83304</v>
      </c>
      <c r="R57" s="194">
        <v>341551</v>
      </c>
      <c r="S57" s="194">
        <v>6165.2</v>
      </c>
      <c r="T57" s="70">
        <v>1813.0000000000007</v>
      </c>
      <c r="U57" s="80">
        <v>81753.173721494197</v>
      </c>
      <c r="V57" s="73"/>
      <c r="X57" s="30"/>
      <c r="Y57" s="54">
        <v>48</v>
      </c>
      <c r="Z57" s="70">
        <v>60012.549999999988</v>
      </c>
      <c r="AA57" s="75">
        <v>10752</v>
      </c>
      <c r="AB57" s="75">
        <v>6114.64</v>
      </c>
      <c r="AC57" s="75">
        <v>81237.36</v>
      </c>
      <c r="AD57" s="194">
        <v>339600.8</v>
      </c>
      <c r="AE57" s="194">
        <v>7367.6</v>
      </c>
      <c r="AF57" s="76">
        <v>7.0000000000000007E-2</v>
      </c>
      <c r="AG57" s="70">
        <v>3763.2000000000007</v>
      </c>
      <c r="AH57" s="31"/>
    </row>
    <row r="58" spans="3:34" x14ac:dyDescent="0.25">
      <c r="C58" s="72"/>
      <c r="D58" s="54">
        <v>49</v>
      </c>
      <c r="E58" s="70">
        <v>58351.91</v>
      </c>
      <c r="F58" s="75">
        <v>8954</v>
      </c>
      <c r="G58" s="75">
        <v>89150</v>
      </c>
      <c r="H58" s="194">
        <v>343364</v>
      </c>
      <c r="I58" s="194">
        <v>12791.44</v>
      </c>
      <c r="J58" s="75">
        <v>81753.173721494197</v>
      </c>
      <c r="K58" s="73"/>
      <c r="M58" s="72"/>
      <c r="N58" s="54">
        <v>49</v>
      </c>
      <c r="O58" s="70">
        <v>49176.027499999989</v>
      </c>
      <c r="P58" s="75">
        <v>13221</v>
      </c>
      <c r="Q58" s="75">
        <v>80795</v>
      </c>
      <c r="R58" s="194">
        <v>327436.42749999999</v>
      </c>
      <c r="S58" s="194">
        <v>6039.75</v>
      </c>
      <c r="T58" s="70">
        <v>1619.5725000000007</v>
      </c>
      <c r="U58" s="80">
        <v>81753.173721494197</v>
      </c>
      <c r="V58" s="73"/>
      <c r="X58" s="30"/>
      <c r="Y58" s="54">
        <v>49</v>
      </c>
      <c r="Z58" s="70">
        <v>59455.449999999975</v>
      </c>
      <c r="AA58" s="75">
        <v>12609</v>
      </c>
      <c r="AB58" s="75">
        <v>6839.6</v>
      </c>
      <c r="AC58" s="75">
        <v>78655.399999999994</v>
      </c>
      <c r="AD58" s="194">
        <v>338950.85</v>
      </c>
      <c r="AE58" s="194">
        <v>7274.75</v>
      </c>
      <c r="AF58" s="76">
        <v>0.08</v>
      </c>
      <c r="AG58" s="70">
        <v>4413.1500000000015</v>
      </c>
      <c r="AH58" s="31"/>
    </row>
    <row r="59" spans="3:34" x14ac:dyDescent="0.25">
      <c r="C59" s="72"/>
      <c r="D59" s="54">
        <v>50</v>
      </c>
      <c r="E59" s="70">
        <v>58351.91</v>
      </c>
      <c r="F59" s="75">
        <v>4872</v>
      </c>
      <c r="G59" s="75">
        <v>93232</v>
      </c>
      <c r="H59" s="194">
        <v>343364</v>
      </c>
      <c r="I59" s="194">
        <v>12791.44</v>
      </c>
      <c r="J59" s="75">
        <v>81753.173721494197</v>
      </c>
      <c r="K59" s="73"/>
      <c r="M59" s="72"/>
      <c r="N59" s="54">
        <v>50</v>
      </c>
      <c r="O59" s="70">
        <v>49235.55</v>
      </c>
      <c r="P59" s="75">
        <v>12400</v>
      </c>
      <c r="Q59" s="75">
        <v>81616</v>
      </c>
      <c r="R59" s="194">
        <v>327537</v>
      </c>
      <c r="S59" s="194">
        <v>6080.8</v>
      </c>
      <c r="T59" s="70">
        <v>1519.0000000000007</v>
      </c>
      <c r="U59" s="80">
        <v>81753.173721494197</v>
      </c>
      <c r="V59" s="73"/>
      <c r="X59" s="30"/>
      <c r="Y59" s="54">
        <v>50</v>
      </c>
      <c r="Z59" s="70">
        <v>58872.85000000002</v>
      </c>
      <c r="AA59" s="75">
        <v>14551</v>
      </c>
      <c r="AB59" s="75">
        <v>4177.6500000000005</v>
      </c>
      <c r="AC59" s="75">
        <v>79375.350000000006</v>
      </c>
      <c r="AD59" s="194">
        <v>338271.15</v>
      </c>
      <c r="AE59" s="194">
        <v>7177.6500000000005</v>
      </c>
      <c r="AF59" s="76">
        <v>0.05</v>
      </c>
      <c r="AG59" s="70">
        <v>5092.8500000000013</v>
      </c>
      <c r="AH59" s="31"/>
    </row>
    <row r="60" spans="3:34" x14ac:dyDescent="0.25">
      <c r="C60" s="72"/>
      <c r="D60" s="54">
        <v>51</v>
      </c>
      <c r="E60" s="70">
        <v>86065.16</v>
      </c>
      <c r="F60" s="75">
        <v>8473</v>
      </c>
      <c r="G60" s="75">
        <v>97806</v>
      </c>
      <c r="H60" s="194">
        <v>371976.5</v>
      </c>
      <c r="I60" s="194">
        <v>13690.69</v>
      </c>
      <c r="J60" s="75">
        <v>81753.173721494197</v>
      </c>
      <c r="K60" s="73"/>
      <c r="M60" s="72"/>
      <c r="N60" s="54">
        <v>51</v>
      </c>
      <c r="O60" s="70">
        <v>49187.33749999998</v>
      </c>
      <c r="P60" s="75">
        <v>13065</v>
      </c>
      <c r="Q60" s="75">
        <v>80951</v>
      </c>
      <c r="R60" s="194">
        <v>327455.53749999998</v>
      </c>
      <c r="S60" s="194">
        <v>6047.55</v>
      </c>
      <c r="T60" s="70">
        <v>1600.4625000000008</v>
      </c>
      <c r="U60" s="80">
        <v>81753.173721494197</v>
      </c>
      <c r="V60" s="73"/>
      <c r="X60" s="30"/>
      <c r="Y60" s="54">
        <v>51</v>
      </c>
      <c r="Z60" s="70">
        <v>60008.949999999975</v>
      </c>
      <c r="AA60" s="75">
        <v>10764</v>
      </c>
      <c r="AB60" s="75">
        <v>6113.8</v>
      </c>
      <c r="AC60" s="75">
        <v>81226.2</v>
      </c>
      <c r="AD60" s="194">
        <v>339596.6</v>
      </c>
      <c r="AE60" s="194">
        <v>7367</v>
      </c>
      <c r="AF60" s="76">
        <v>7.0000000000000007E-2</v>
      </c>
      <c r="AG60" s="70">
        <v>3767.400000000001</v>
      </c>
      <c r="AH60" s="31"/>
    </row>
    <row r="61" spans="3:34" x14ac:dyDescent="0.25">
      <c r="C61" s="72"/>
      <c r="D61" s="54">
        <v>52</v>
      </c>
      <c r="E61" s="70">
        <v>44493.59</v>
      </c>
      <c r="F61" s="75">
        <v>4699</v>
      </c>
      <c r="G61" s="75">
        <v>89317</v>
      </c>
      <c r="H61" s="194">
        <v>329056</v>
      </c>
      <c r="I61" s="194">
        <v>12341.76</v>
      </c>
      <c r="J61" s="75">
        <v>81753.173721494197</v>
      </c>
      <c r="K61" s="73"/>
      <c r="M61" s="72"/>
      <c r="N61" s="54">
        <v>52</v>
      </c>
      <c r="O61" s="70">
        <v>63404.617499999993</v>
      </c>
      <c r="P61" s="75">
        <v>11497</v>
      </c>
      <c r="Q61" s="75">
        <v>86607</v>
      </c>
      <c r="R61" s="194">
        <v>341955.61749999999</v>
      </c>
      <c r="S61" s="194">
        <v>6330.35</v>
      </c>
      <c r="T61" s="70">
        <v>1408.3825000000006</v>
      </c>
      <c r="U61" s="80">
        <v>81753.173721494197</v>
      </c>
      <c r="V61" s="73"/>
      <c r="X61" s="30"/>
      <c r="Y61" s="54">
        <v>52</v>
      </c>
      <c r="Z61" s="70">
        <v>60268.750000000015</v>
      </c>
      <c r="AA61" s="75">
        <v>9898</v>
      </c>
      <c r="AB61" s="75">
        <v>7056.4800000000005</v>
      </c>
      <c r="AC61" s="75">
        <v>81149.52</v>
      </c>
      <c r="AD61" s="194">
        <v>339899.7</v>
      </c>
      <c r="AE61" s="194">
        <v>7410.3</v>
      </c>
      <c r="AF61" s="76">
        <v>0.08</v>
      </c>
      <c r="AG61" s="70">
        <v>3464.3000000000011</v>
      </c>
      <c r="AH61" s="31"/>
    </row>
    <row r="62" spans="3:34" x14ac:dyDescent="0.25">
      <c r="C62" s="72"/>
      <c r="D62" s="54">
        <v>53</v>
      </c>
      <c r="E62" s="70">
        <v>44493.59</v>
      </c>
      <c r="F62" s="75">
        <v>8478</v>
      </c>
      <c r="G62" s="75">
        <v>85538</v>
      </c>
      <c r="H62" s="194">
        <v>329056</v>
      </c>
      <c r="I62" s="194">
        <v>12341.76</v>
      </c>
      <c r="J62" s="75">
        <v>81753.173721494197</v>
      </c>
      <c r="K62" s="73"/>
      <c r="M62" s="72"/>
      <c r="N62" s="54">
        <v>53</v>
      </c>
      <c r="O62" s="70">
        <v>35325.452500000014</v>
      </c>
      <c r="P62" s="75">
        <v>9731</v>
      </c>
      <c r="Q62" s="75">
        <v>80197</v>
      </c>
      <c r="R62" s="194">
        <v>313555.95250000001</v>
      </c>
      <c r="S62" s="194">
        <v>6009.85</v>
      </c>
      <c r="T62" s="70">
        <v>1192.0475000000006</v>
      </c>
      <c r="U62" s="80">
        <v>81753.173721494197</v>
      </c>
      <c r="V62" s="73"/>
      <c r="X62" s="30"/>
      <c r="Y62" s="54">
        <v>53</v>
      </c>
      <c r="Z62" s="70">
        <v>59991.85000000002</v>
      </c>
      <c r="AA62" s="75">
        <v>10821</v>
      </c>
      <c r="AB62" s="75">
        <v>6109.81</v>
      </c>
      <c r="AC62" s="75">
        <v>81173.19</v>
      </c>
      <c r="AD62" s="194">
        <v>339576.65</v>
      </c>
      <c r="AE62" s="194">
        <v>7364.1500000000005</v>
      </c>
      <c r="AF62" s="76">
        <v>7.0000000000000007E-2</v>
      </c>
      <c r="AG62" s="70">
        <v>3787.3500000000008</v>
      </c>
      <c r="AH62" s="31"/>
    </row>
    <row r="63" spans="3:34" x14ac:dyDescent="0.25">
      <c r="C63" s="72"/>
      <c r="D63" s="54">
        <v>54</v>
      </c>
      <c r="E63" s="70">
        <v>44493.59</v>
      </c>
      <c r="F63" s="75">
        <v>4667</v>
      </c>
      <c r="G63" s="75">
        <v>89349</v>
      </c>
      <c r="H63" s="194">
        <v>329056</v>
      </c>
      <c r="I63" s="194">
        <v>12341.76</v>
      </c>
      <c r="J63" s="75">
        <v>81753.173721494197</v>
      </c>
      <c r="K63" s="73"/>
      <c r="M63" s="72"/>
      <c r="N63" s="54">
        <v>54</v>
      </c>
      <c r="O63" s="70">
        <v>49255.487500000003</v>
      </c>
      <c r="P63" s="75">
        <v>12125</v>
      </c>
      <c r="Q63" s="75">
        <v>81891</v>
      </c>
      <c r="R63" s="194">
        <v>327570.6875</v>
      </c>
      <c r="S63" s="194">
        <v>6094.55</v>
      </c>
      <c r="T63" s="70">
        <v>1485.3125000000007</v>
      </c>
      <c r="U63" s="80">
        <v>81753.173721494197</v>
      </c>
      <c r="V63" s="73"/>
      <c r="X63" s="30"/>
      <c r="Y63" s="54">
        <v>54</v>
      </c>
      <c r="Z63" s="70">
        <v>87894.399999999994</v>
      </c>
      <c r="AA63" s="75">
        <v>11825</v>
      </c>
      <c r="AB63" s="75">
        <v>6611.7800000000007</v>
      </c>
      <c r="AC63" s="75">
        <v>87842.22</v>
      </c>
      <c r="AD63" s="194">
        <v>367837.75</v>
      </c>
      <c r="AE63" s="194">
        <v>7722.7</v>
      </c>
      <c r="AF63" s="76">
        <v>7.0000000000000007E-2</v>
      </c>
      <c r="AG63" s="70">
        <v>4138.7500000000009</v>
      </c>
      <c r="AH63" s="31"/>
    </row>
    <row r="64" spans="3:34" x14ac:dyDescent="0.25">
      <c r="C64" s="72"/>
      <c r="D64" s="54">
        <v>55</v>
      </c>
      <c r="E64" s="70">
        <v>44493.59</v>
      </c>
      <c r="F64" s="75">
        <v>6686</v>
      </c>
      <c r="G64" s="75">
        <v>87330</v>
      </c>
      <c r="H64" s="194">
        <v>329056</v>
      </c>
      <c r="I64" s="194">
        <v>12341.76</v>
      </c>
      <c r="J64" s="75">
        <v>81753.173721494197</v>
      </c>
      <c r="K64" s="73"/>
      <c r="M64" s="72"/>
      <c r="N64" s="54">
        <v>55</v>
      </c>
      <c r="O64" s="70">
        <v>49263.099999999991</v>
      </c>
      <c r="P64" s="75">
        <v>12020</v>
      </c>
      <c r="Q64" s="75">
        <v>81996</v>
      </c>
      <c r="R64" s="194">
        <v>327583.55</v>
      </c>
      <c r="S64" s="194">
        <v>6099.8</v>
      </c>
      <c r="T64" s="70">
        <v>1472.4500000000007</v>
      </c>
      <c r="U64" s="80">
        <v>81753.173721494197</v>
      </c>
      <c r="V64" s="73"/>
      <c r="X64" s="30"/>
      <c r="Y64" s="54">
        <v>55</v>
      </c>
      <c r="Z64" s="70">
        <v>59469.549999999988</v>
      </c>
      <c r="AA64" s="75">
        <v>12562</v>
      </c>
      <c r="AB64" s="75">
        <v>5987.9400000000005</v>
      </c>
      <c r="AC64" s="75">
        <v>79554.06</v>
      </c>
      <c r="AD64" s="194">
        <v>338967.3</v>
      </c>
      <c r="AE64" s="194">
        <v>7277.1</v>
      </c>
      <c r="AF64" s="76">
        <v>7.0000000000000007E-2</v>
      </c>
      <c r="AG64" s="70">
        <v>4396.7000000000007</v>
      </c>
      <c r="AH64" s="31"/>
    </row>
    <row r="65" spans="3:34" x14ac:dyDescent="0.25">
      <c r="C65" s="72"/>
      <c r="D65" s="54">
        <v>56</v>
      </c>
      <c r="E65" s="70">
        <v>86065.16</v>
      </c>
      <c r="F65" s="75">
        <v>5373</v>
      </c>
      <c r="G65" s="75">
        <v>100906</v>
      </c>
      <c r="H65" s="194">
        <v>371976.5</v>
      </c>
      <c r="I65" s="194">
        <v>13690.69</v>
      </c>
      <c r="J65" s="75">
        <v>81753.173721494197</v>
      </c>
      <c r="K65" s="73"/>
      <c r="M65" s="72"/>
      <c r="N65" s="54">
        <v>56</v>
      </c>
      <c r="O65" s="70">
        <v>63529.969999999987</v>
      </c>
      <c r="P65" s="75">
        <v>9768</v>
      </c>
      <c r="Q65" s="75">
        <v>88336</v>
      </c>
      <c r="R65" s="194">
        <v>342167.42</v>
      </c>
      <c r="S65" s="194">
        <v>6416.8</v>
      </c>
      <c r="T65" s="70">
        <v>1196.5800000000006</v>
      </c>
      <c r="U65" s="80">
        <v>81753.173721494197</v>
      </c>
      <c r="V65" s="73"/>
      <c r="X65" s="30"/>
      <c r="Y65" s="54">
        <v>56</v>
      </c>
      <c r="Z65" s="70">
        <v>45760.150000000009</v>
      </c>
      <c r="AA65" s="75">
        <v>11248</v>
      </c>
      <c r="AB65" s="75">
        <v>4966.08</v>
      </c>
      <c r="AC65" s="75">
        <v>77801.919999999998</v>
      </c>
      <c r="AD65" s="194">
        <v>325119.2</v>
      </c>
      <c r="AE65" s="194">
        <v>7138.4000000000005</v>
      </c>
      <c r="AF65" s="76">
        <v>0.06</v>
      </c>
      <c r="AG65" s="70">
        <v>3936.8000000000011</v>
      </c>
      <c r="AH65" s="31"/>
    </row>
    <row r="66" spans="3:34" x14ac:dyDescent="0.25">
      <c r="C66" s="72"/>
      <c r="D66" s="54">
        <v>57</v>
      </c>
      <c r="E66" s="70">
        <v>58351.91</v>
      </c>
      <c r="F66" s="75">
        <v>6817</v>
      </c>
      <c r="G66" s="75">
        <v>91287</v>
      </c>
      <c r="H66" s="194">
        <v>343364</v>
      </c>
      <c r="I66" s="194">
        <v>12791.44</v>
      </c>
      <c r="J66" s="75">
        <v>81753.173721494197</v>
      </c>
      <c r="K66" s="73"/>
      <c r="M66" s="72"/>
      <c r="N66" s="54">
        <v>57</v>
      </c>
      <c r="O66" s="70">
        <v>63168.050000000025</v>
      </c>
      <c r="P66" s="75">
        <v>14760</v>
      </c>
      <c r="Q66" s="75">
        <v>83344</v>
      </c>
      <c r="R66" s="194">
        <v>341555.9</v>
      </c>
      <c r="S66" s="194">
        <v>6167.2</v>
      </c>
      <c r="T66" s="70">
        <v>1808.1000000000008</v>
      </c>
      <c r="U66" s="80">
        <v>81753.173721494197</v>
      </c>
      <c r="V66" s="73"/>
      <c r="X66" s="30"/>
      <c r="Y66" s="54">
        <v>57</v>
      </c>
      <c r="Z66" s="70">
        <v>46292.05</v>
      </c>
      <c r="AA66" s="75">
        <v>9475</v>
      </c>
      <c r="AB66" s="75">
        <v>5917.8700000000008</v>
      </c>
      <c r="AC66" s="75">
        <v>78623.13</v>
      </c>
      <c r="AD66" s="194">
        <v>325739.75</v>
      </c>
      <c r="AE66" s="194">
        <v>7227.05</v>
      </c>
      <c r="AF66" s="76">
        <v>7.0000000000000007E-2</v>
      </c>
      <c r="AG66" s="70">
        <v>3316.2500000000009</v>
      </c>
      <c r="AH66" s="31"/>
    </row>
    <row r="67" spans="3:34" x14ac:dyDescent="0.25">
      <c r="C67" s="72"/>
      <c r="D67" s="54">
        <v>58</v>
      </c>
      <c r="E67" s="70">
        <v>44493.59</v>
      </c>
      <c r="F67" s="75">
        <v>5515</v>
      </c>
      <c r="G67" s="75">
        <v>88501</v>
      </c>
      <c r="H67" s="194">
        <v>329056</v>
      </c>
      <c r="I67" s="194">
        <v>12341.76</v>
      </c>
      <c r="J67" s="75">
        <v>81753.173721494197</v>
      </c>
      <c r="K67" s="73"/>
      <c r="M67" s="72"/>
      <c r="N67" s="54">
        <v>58</v>
      </c>
      <c r="O67" s="70">
        <v>63184.87000000001</v>
      </c>
      <c r="P67" s="75">
        <v>14528</v>
      </c>
      <c r="Q67" s="75">
        <v>83576</v>
      </c>
      <c r="R67" s="194">
        <v>341584.32</v>
      </c>
      <c r="S67" s="194">
        <v>6178.8</v>
      </c>
      <c r="T67" s="70">
        <v>1779.6800000000007</v>
      </c>
      <c r="U67" s="80">
        <v>81753.173721494197</v>
      </c>
      <c r="V67" s="73"/>
      <c r="X67" s="30"/>
      <c r="Y67" s="54">
        <v>58</v>
      </c>
      <c r="Z67" s="70">
        <v>58850.949999999975</v>
      </c>
      <c r="AA67" s="75">
        <v>14624</v>
      </c>
      <c r="AB67" s="75">
        <v>6678.4000000000005</v>
      </c>
      <c r="AC67" s="75">
        <v>76801.600000000006</v>
      </c>
      <c r="AD67" s="194">
        <v>338245.6</v>
      </c>
      <c r="AE67" s="194">
        <v>7174</v>
      </c>
      <c r="AF67" s="76">
        <v>0.08</v>
      </c>
      <c r="AG67" s="70">
        <v>5118.4000000000015</v>
      </c>
      <c r="AH67" s="31"/>
    </row>
    <row r="68" spans="3:34" x14ac:dyDescent="0.25">
      <c r="C68" s="72"/>
      <c r="D68" s="54">
        <v>59</v>
      </c>
      <c r="E68" s="70">
        <v>44493.59</v>
      </c>
      <c r="F68" s="75">
        <v>4825</v>
      </c>
      <c r="G68" s="75">
        <v>89191</v>
      </c>
      <c r="H68" s="194">
        <v>329056</v>
      </c>
      <c r="I68" s="194">
        <v>12341.76</v>
      </c>
      <c r="J68" s="75">
        <v>81753.173721494197</v>
      </c>
      <c r="K68" s="73"/>
      <c r="M68" s="72"/>
      <c r="N68" s="54">
        <v>59</v>
      </c>
      <c r="O68" s="70">
        <v>91668.542499999981</v>
      </c>
      <c r="P68" s="75">
        <v>10667</v>
      </c>
      <c r="Q68" s="75">
        <v>95612</v>
      </c>
      <c r="R68" s="194">
        <v>370669.79249999998</v>
      </c>
      <c r="S68" s="194">
        <v>6780.6</v>
      </c>
      <c r="T68" s="70">
        <v>1306.7075000000007</v>
      </c>
      <c r="U68" s="80">
        <v>81753.173721494197</v>
      </c>
      <c r="V68" s="73"/>
      <c r="X68" s="30"/>
      <c r="Y68" s="54">
        <v>59</v>
      </c>
      <c r="Z68" s="70">
        <v>45162.250000000022</v>
      </c>
      <c r="AA68" s="75">
        <v>13241</v>
      </c>
      <c r="AB68" s="75">
        <v>4846.5</v>
      </c>
      <c r="AC68" s="75">
        <v>75928.5</v>
      </c>
      <c r="AD68" s="194">
        <v>324421.65000000002</v>
      </c>
      <c r="AE68" s="194">
        <v>7038.75</v>
      </c>
      <c r="AF68" s="76">
        <v>0.06</v>
      </c>
      <c r="AG68" s="70">
        <v>4634.3500000000013</v>
      </c>
      <c r="AH68" s="31"/>
    </row>
    <row r="69" spans="3:34" x14ac:dyDescent="0.25">
      <c r="C69" s="72"/>
      <c r="D69" s="54">
        <v>60</v>
      </c>
      <c r="E69" s="70">
        <v>86065.16</v>
      </c>
      <c r="F69" s="75">
        <v>7500</v>
      </c>
      <c r="G69" s="75">
        <v>98779</v>
      </c>
      <c r="H69" s="194">
        <v>371976.5</v>
      </c>
      <c r="I69" s="194">
        <v>13690.69</v>
      </c>
      <c r="J69" s="75">
        <v>81753.173721494197</v>
      </c>
      <c r="K69" s="73"/>
      <c r="M69" s="72"/>
      <c r="N69" s="54">
        <v>60</v>
      </c>
      <c r="O69" s="70">
        <v>35119.479999999996</v>
      </c>
      <c r="P69" s="75">
        <v>12572</v>
      </c>
      <c r="Q69" s="75">
        <v>77356</v>
      </c>
      <c r="R69" s="194">
        <v>313207.93</v>
      </c>
      <c r="S69" s="194">
        <v>5867.8</v>
      </c>
      <c r="T69" s="70">
        <v>1540.0700000000006</v>
      </c>
      <c r="U69" s="80">
        <v>81753.173721494197</v>
      </c>
      <c r="V69" s="73"/>
      <c r="X69" s="30"/>
      <c r="Y69" s="54">
        <v>60</v>
      </c>
      <c r="Z69" s="70">
        <v>45236.650000000009</v>
      </c>
      <c r="AA69" s="75">
        <v>12993</v>
      </c>
      <c r="AB69" s="75">
        <v>5671.6100000000006</v>
      </c>
      <c r="AC69" s="75">
        <v>75351.39</v>
      </c>
      <c r="AD69" s="194">
        <v>324508.45</v>
      </c>
      <c r="AE69" s="194">
        <v>7051.15</v>
      </c>
      <c r="AF69" s="76">
        <v>7.0000000000000007E-2</v>
      </c>
      <c r="AG69" s="70">
        <v>4547.5500000000011</v>
      </c>
      <c r="AH69" s="31"/>
    </row>
    <row r="70" spans="3:34" x14ac:dyDescent="0.25">
      <c r="C70" s="72"/>
      <c r="D70" s="54">
        <v>61</v>
      </c>
      <c r="E70" s="70">
        <v>58351.91</v>
      </c>
      <c r="F70" s="75">
        <v>8695</v>
      </c>
      <c r="G70" s="75">
        <v>89409</v>
      </c>
      <c r="H70" s="194">
        <v>343364</v>
      </c>
      <c r="I70" s="194">
        <v>12791.44</v>
      </c>
      <c r="J70" s="75">
        <v>81753.173721494197</v>
      </c>
      <c r="K70" s="73"/>
      <c r="M70" s="72"/>
      <c r="N70" s="54">
        <v>61</v>
      </c>
      <c r="O70" s="70">
        <v>63318.99500000001</v>
      </c>
      <c r="P70" s="75">
        <v>12678</v>
      </c>
      <c r="Q70" s="75">
        <v>85426</v>
      </c>
      <c r="R70" s="194">
        <v>341810.94500000001</v>
      </c>
      <c r="S70" s="194">
        <v>6271.3</v>
      </c>
      <c r="T70" s="70">
        <v>1553.0550000000007</v>
      </c>
      <c r="U70" s="80">
        <v>81753.173721494197</v>
      </c>
      <c r="V70" s="73"/>
      <c r="X70" s="30"/>
      <c r="Y70" s="54">
        <v>61</v>
      </c>
      <c r="Z70" s="70">
        <v>45452.349999999977</v>
      </c>
      <c r="AA70" s="75">
        <v>12274</v>
      </c>
      <c r="AB70" s="75">
        <v>8174.2000000000007</v>
      </c>
      <c r="AC70" s="75">
        <v>73567.8</v>
      </c>
      <c r="AD70" s="194">
        <v>324760.09999999998</v>
      </c>
      <c r="AE70" s="194">
        <v>7087.1</v>
      </c>
      <c r="AF70" s="76">
        <v>0.1</v>
      </c>
      <c r="AG70" s="70">
        <v>4295.9000000000015</v>
      </c>
      <c r="AH70" s="31"/>
    </row>
    <row r="71" spans="3:34" x14ac:dyDescent="0.25">
      <c r="C71" s="72"/>
      <c r="D71" s="54">
        <v>62</v>
      </c>
      <c r="E71" s="70">
        <v>44493.59</v>
      </c>
      <c r="F71" s="75">
        <v>6561</v>
      </c>
      <c r="G71" s="75">
        <v>87455</v>
      </c>
      <c r="H71" s="194">
        <v>329056</v>
      </c>
      <c r="I71" s="194">
        <v>12341.76</v>
      </c>
      <c r="J71" s="75">
        <v>81753.173721494197</v>
      </c>
      <c r="K71" s="73"/>
      <c r="M71" s="72"/>
      <c r="N71" s="54">
        <v>62</v>
      </c>
      <c r="O71" s="70">
        <v>49448.192499999983</v>
      </c>
      <c r="P71" s="75">
        <v>9467</v>
      </c>
      <c r="Q71" s="75">
        <v>84549</v>
      </c>
      <c r="R71" s="194">
        <v>327896.29249999998</v>
      </c>
      <c r="S71" s="194">
        <v>6227.45</v>
      </c>
      <c r="T71" s="70">
        <v>1159.7075000000004</v>
      </c>
      <c r="U71" s="80">
        <v>81753.173721494197</v>
      </c>
      <c r="V71" s="73"/>
      <c r="X71" s="30"/>
      <c r="Y71" s="54">
        <v>62</v>
      </c>
      <c r="Z71" s="70">
        <v>45169.150000000009</v>
      </c>
      <c r="AA71" s="75">
        <v>13218</v>
      </c>
      <c r="AB71" s="75">
        <v>6463.84</v>
      </c>
      <c r="AC71" s="75">
        <v>74334.16</v>
      </c>
      <c r="AD71" s="194">
        <v>324429.7</v>
      </c>
      <c r="AE71" s="194">
        <v>7039.9</v>
      </c>
      <c r="AF71" s="76">
        <v>0.08</v>
      </c>
      <c r="AG71" s="70">
        <v>4626.3000000000011</v>
      </c>
      <c r="AH71" s="31"/>
    </row>
    <row r="72" spans="3:34" x14ac:dyDescent="0.25">
      <c r="C72" s="72"/>
      <c r="D72" s="54">
        <v>63</v>
      </c>
      <c r="E72" s="70">
        <v>44493.59</v>
      </c>
      <c r="F72" s="75">
        <v>7493</v>
      </c>
      <c r="G72" s="75">
        <v>86523</v>
      </c>
      <c r="H72" s="194">
        <v>329056</v>
      </c>
      <c r="I72" s="194">
        <v>12341.76</v>
      </c>
      <c r="J72" s="75">
        <v>81753.173721494197</v>
      </c>
      <c r="K72" s="73"/>
      <c r="M72" s="72"/>
      <c r="N72" s="54">
        <v>63</v>
      </c>
      <c r="O72" s="70">
        <v>35050.170000000006</v>
      </c>
      <c r="P72" s="75">
        <v>13528</v>
      </c>
      <c r="Q72" s="75">
        <v>76400</v>
      </c>
      <c r="R72" s="194">
        <v>313090.82</v>
      </c>
      <c r="S72" s="194">
        <v>5820</v>
      </c>
      <c r="T72" s="70">
        <v>1657.1800000000007</v>
      </c>
      <c r="U72" s="80">
        <v>81753.173721494197</v>
      </c>
      <c r="V72" s="73"/>
      <c r="X72" s="30"/>
      <c r="Y72" s="54">
        <v>63</v>
      </c>
      <c r="Z72" s="70">
        <v>59974.15</v>
      </c>
      <c r="AA72" s="75">
        <v>10880</v>
      </c>
      <c r="AB72" s="75">
        <v>7850.16</v>
      </c>
      <c r="AC72" s="75">
        <v>79373.84</v>
      </c>
      <c r="AD72" s="194">
        <v>339556</v>
      </c>
      <c r="AE72" s="194">
        <v>7361.2</v>
      </c>
      <c r="AF72" s="76">
        <v>0.09</v>
      </c>
      <c r="AG72" s="70">
        <v>3808.0000000000009</v>
      </c>
      <c r="AH72" s="31"/>
    </row>
    <row r="73" spans="3:34" x14ac:dyDescent="0.25">
      <c r="C73" s="72"/>
      <c r="D73" s="54">
        <v>64</v>
      </c>
      <c r="E73" s="70">
        <v>58351.91</v>
      </c>
      <c r="F73" s="75">
        <v>6962</v>
      </c>
      <c r="G73" s="75">
        <v>91142</v>
      </c>
      <c r="H73" s="194">
        <v>343364</v>
      </c>
      <c r="I73" s="194">
        <v>12791.44</v>
      </c>
      <c r="J73" s="75">
        <v>81753.173721494197</v>
      </c>
      <c r="K73" s="73"/>
      <c r="M73" s="72"/>
      <c r="N73" s="54">
        <v>64</v>
      </c>
      <c r="O73" s="70">
        <v>35308.414999999979</v>
      </c>
      <c r="P73" s="75">
        <v>9966</v>
      </c>
      <c r="Q73" s="75">
        <v>79962</v>
      </c>
      <c r="R73" s="194">
        <v>313527.16499999998</v>
      </c>
      <c r="S73" s="194">
        <v>5998.1</v>
      </c>
      <c r="T73" s="70">
        <v>1220.8350000000005</v>
      </c>
      <c r="U73" s="80">
        <v>81753.173721494197</v>
      </c>
      <c r="V73" s="73"/>
      <c r="X73" s="30"/>
      <c r="Y73" s="54">
        <v>64</v>
      </c>
      <c r="Z73" s="70">
        <v>60315.85000000002</v>
      </c>
      <c r="AA73" s="75">
        <v>9741</v>
      </c>
      <c r="AB73" s="75">
        <v>8836.3000000000011</v>
      </c>
      <c r="AC73" s="75">
        <v>79526.7</v>
      </c>
      <c r="AD73" s="194">
        <v>339954.65</v>
      </c>
      <c r="AE73" s="194">
        <v>7418.1500000000005</v>
      </c>
      <c r="AF73" s="76">
        <v>0.1</v>
      </c>
      <c r="AG73" s="70">
        <v>3409.3500000000008</v>
      </c>
      <c r="AH73" s="31"/>
    </row>
    <row r="74" spans="3:34" x14ac:dyDescent="0.25">
      <c r="C74" s="72"/>
      <c r="D74" s="54">
        <v>65</v>
      </c>
      <c r="E74" s="70">
        <v>86065.16</v>
      </c>
      <c r="F74" s="75">
        <v>10695</v>
      </c>
      <c r="G74" s="75">
        <v>95584</v>
      </c>
      <c r="H74" s="194">
        <v>371976.5</v>
      </c>
      <c r="I74" s="194">
        <v>13690.69</v>
      </c>
      <c r="J74" s="75">
        <v>81753.173721494197</v>
      </c>
      <c r="K74" s="73"/>
      <c r="M74" s="72"/>
      <c r="N74" s="54">
        <v>65</v>
      </c>
      <c r="O74" s="70">
        <v>49323.057499999981</v>
      </c>
      <c r="P74" s="75">
        <v>11193</v>
      </c>
      <c r="Q74" s="75">
        <v>82823</v>
      </c>
      <c r="R74" s="194">
        <v>327684.85749999998</v>
      </c>
      <c r="S74" s="194">
        <v>6141.1500000000005</v>
      </c>
      <c r="T74" s="70">
        <v>1371.1425000000006</v>
      </c>
      <c r="U74" s="80">
        <v>81753.173721494197</v>
      </c>
      <c r="V74" s="73"/>
      <c r="X74" s="30"/>
      <c r="Y74" s="54">
        <v>65</v>
      </c>
      <c r="Z74" s="70">
        <v>31502.95</v>
      </c>
      <c r="AA74" s="75">
        <v>11760</v>
      </c>
      <c r="AB74" s="75">
        <v>6253.4400000000005</v>
      </c>
      <c r="AC74" s="75">
        <v>71914.559999999998</v>
      </c>
      <c r="AD74" s="194">
        <v>310632</v>
      </c>
      <c r="AE74" s="194">
        <v>6908.4</v>
      </c>
      <c r="AF74" s="76">
        <v>0.08</v>
      </c>
      <c r="AG74" s="70">
        <v>4116.0000000000009</v>
      </c>
      <c r="AH74" s="31"/>
    </row>
    <row r="75" spans="3:34" x14ac:dyDescent="0.25">
      <c r="C75" s="72"/>
      <c r="D75" s="54">
        <v>66</v>
      </c>
      <c r="E75" s="70">
        <v>30635.27</v>
      </c>
      <c r="F75" s="75">
        <v>4492</v>
      </c>
      <c r="G75" s="75">
        <v>85436</v>
      </c>
      <c r="H75" s="194">
        <v>314748</v>
      </c>
      <c r="I75" s="194">
        <v>11892.08</v>
      </c>
      <c r="J75" s="75">
        <v>81753.173721494197</v>
      </c>
      <c r="K75" s="73"/>
      <c r="M75" s="72"/>
      <c r="N75" s="54">
        <v>66</v>
      </c>
      <c r="O75" s="70">
        <v>35382.799999999974</v>
      </c>
      <c r="P75" s="75">
        <v>8940</v>
      </c>
      <c r="Q75" s="75">
        <v>80988</v>
      </c>
      <c r="R75" s="194">
        <v>313652.84999999998</v>
      </c>
      <c r="S75" s="194">
        <v>6049.4</v>
      </c>
      <c r="T75" s="70">
        <v>1095.1500000000005</v>
      </c>
      <c r="U75" s="80">
        <v>81753.173721494197</v>
      </c>
      <c r="V75" s="73"/>
      <c r="X75" s="30"/>
      <c r="Y75" s="54">
        <v>66</v>
      </c>
      <c r="Z75" s="70">
        <v>45157.750000000022</v>
      </c>
      <c r="AA75" s="75">
        <v>13256</v>
      </c>
      <c r="AB75" s="75">
        <v>7268.4</v>
      </c>
      <c r="AC75" s="75">
        <v>73491.600000000006</v>
      </c>
      <c r="AD75" s="194">
        <v>324416.40000000002</v>
      </c>
      <c r="AE75" s="194">
        <v>7038</v>
      </c>
      <c r="AF75" s="76">
        <v>0.09</v>
      </c>
      <c r="AG75" s="70">
        <v>4639.6000000000013</v>
      </c>
      <c r="AH75" s="31"/>
    </row>
    <row r="76" spans="3:34" x14ac:dyDescent="0.25">
      <c r="C76" s="72"/>
      <c r="D76" s="54">
        <v>67</v>
      </c>
      <c r="E76" s="70">
        <v>58351.91</v>
      </c>
      <c r="F76" s="75">
        <v>4766</v>
      </c>
      <c r="G76" s="75">
        <v>93338</v>
      </c>
      <c r="H76" s="194">
        <v>343364</v>
      </c>
      <c r="I76" s="194">
        <v>12791.44</v>
      </c>
      <c r="J76" s="75">
        <v>81753.173721494197</v>
      </c>
      <c r="K76" s="73"/>
      <c r="M76" s="72"/>
      <c r="N76" s="54">
        <v>67</v>
      </c>
      <c r="O76" s="70">
        <v>35060.610000000022</v>
      </c>
      <c r="P76" s="75">
        <v>13384</v>
      </c>
      <c r="Q76" s="75">
        <v>76544</v>
      </c>
      <c r="R76" s="194">
        <v>313108.46000000002</v>
      </c>
      <c r="S76" s="194">
        <v>5827.2000000000007</v>
      </c>
      <c r="T76" s="70">
        <v>1639.5400000000006</v>
      </c>
      <c r="U76" s="80">
        <v>81753.173721494197</v>
      </c>
      <c r="V76" s="73"/>
      <c r="X76" s="30"/>
      <c r="Y76" s="54">
        <v>67</v>
      </c>
      <c r="Z76" s="70">
        <v>30989.349999999988</v>
      </c>
      <c r="AA76" s="75">
        <v>13472</v>
      </c>
      <c r="AB76" s="75">
        <v>6116.4800000000005</v>
      </c>
      <c r="AC76" s="75">
        <v>70339.520000000004</v>
      </c>
      <c r="AD76" s="194">
        <v>310032.8</v>
      </c>
      <c r="AE76" s="194">
        <v>6822.8</v>
      </c>
      <c r="AF76" s="76">
        <v>0.08</v>
      </c>
      <c r="AG76" s="70">
        <v>4715.2000000000016</v>
      </c>
      <c r="AH76" s="31"/>
    </row>
    <row r="77" spans="3:34" x14ac:dyDescent="0.25">
      <c r="C77" s="72"/>
      <c r="D77" s="54">
        <v>68</v>
      </c>
      <c r="E77" s="70">
        <v>44493.59</v>
      </c>
      <c r="F77" s="75">
        <v>7651</v>
      </c>
      <c r="G77" s="75">
        <v>86365</v>
      </c>
      <c r="H77" s="194">
        <v>329056</v>
      </c>
      <c r="I77" s="194">
        <v>12341.76</v>
      </c>
      <c r="J77" s="75">
        <v>81753.173721494197</v>
      </c>
      <c r="K77" s="73"/>
      <c r="M77" s="72"/>
      <c r="N77" s="54">
        <v>68</v>
      </c>
      <c r="O77" s="70">
        <v>49251.355000000018</v>
      </c>
      <c r="P77" s="75">
        <v>12182</v>
      </c>
      <c r="Q77" s="75">
        <v>81834</v>
      </c>
      <c r="R77" s="194">
        <v>327563.70500000002</v>
      </c>
      <c r="S77" s="194">
        <v>6091.7000000000007</v>
      </c>
      <c r="T77" s="70">
        <v>1492.2950000000008</v>
      </c>
      <c r="U77" s="80">
        <v>81753.173721494197</v>
      </c>
      <c r="V77" s="73"/>
      <c r="X77" s="30"/>
      <c r="Y77" s="54">
        <v>68</v>
      </c>
      <c r="Z77" s="70">
        <v>60274.750000000015</v>
      </c>
      <c r="AA77" s="75">
        <v>9878</v>
      </c>
      <c r="AB77" s="75">
        <v>5293.5599999999995</v>
      </c>
      <c r="AC77" s="75">
        <v>82932.44</v>
      </c>
      <c r="AD77" s="194">
        <v>339906.7</v>
      </c>
      <c r="AE77" s="194">
        <v>7411.3</v>
      </c>
      <c r="AF77" s="76">
        <v>0.06</v>
      </c>
      <c r="AG77" s="70">
        <v>3457.3000000000011</v>
      </c>
      <c r="AH77" s="31"/>
    </row>
    <row r="78" spans="3:34" x14ac:dyDescent="0.25">
      <c r="C78" s="72"/>
      <c r="D78" s="54">
        <v>69</v>
      </c>
      <c r="E78" s="70">
        <v>30635.27</v>
      </c>
      <c r="F78" s="75">
        <v>7233</v>
      </c>
      <c r="G78" s="75">
        <v>82695</v>
      </c>
      <c r="H78" s="194">
        <v>314748</v>
      </c>
      <c r="I78" s="194">
        <v>11892.08</v>
      </c>
      <c r="J78" s="75">
        <v>81753.173721494197</v>
      </c>
      <c r="K78" s="73"/>
      <c r="M78" s="72"/>
      <c r="N78" s="54">
        <v>69</v>
      </c>
      <c r="O78" s="70">
        <v>63379.459999999985</v>
      </c>
      <c r="P78" s="75">
        <v>11844</v>
      </c>
      <c r="Q78" s="75">
        <v>86260</v>
      </c>
      <c r="R78" s="194">
        <v>341913.11</v>
      </c>
      <c r="S78" s="194">
        <v>6313</v>
      </c>
      <c r="T78" s="70">
        <v>1450.8900000000006</v>
      </c>
      <c r="U78" s="80">
        <v>81753.173721494197</v>
      </c>
      <c r="V78" s="73"/>
      <c r="X78" s="30"/>
      <c r="Y78" s="54">
        <v>69</v>
      </c>
      <c r="Z78" s="70">
        <v>32026.45</v>
      </c>
      <c r="AA78" s="75">
        <v>10015</v>
      </c>
      <c r="AB78" s="75">
        <v>5593.9100000000008</v>
      </c>
      <c r="AC78" s="75">
        <v>74319.09</v>
      </c>
      <c r="AD78" s="194">
        <v>311242.75</v>
      </c>
      <c r="AE78" s="194">
        <v>6995.65</v>
      </c>
      <c r="AF78" s="76">
        <v>7.0000000000000007E-2</v>
      </c>
      <c r="AG78" s="70">
        <v>3505.2500000000009</v>
      </c>
      <c r="AH78" s="31"/>
    </row>
    <row r="79" spans="3:34" x14ac:dyDescent="0.25">
      <c r="C79" s="72"/>
      <c r="D79" s="54">
        <v>70</v>
      </c>
      <c r="E79" s="70">
        <v>44493.59</v>
      </c>
      <c r="F79" s="75">
        <v>9465</v>
      </c>
      <c r="G79" s="75">
        <v>84551</v>
      </c>
      <c r="H79" s="194">
        <v>329056</v>
      </c>
      <c r="I79" s="194">
        <v>12341.76</v>
      </c>
      <c r="J79" s="75">
        <v>81753.173721494197</v>
      </c>
      <c r="K79" s="73"/>
      <c r="M79" s="72"/>
      <c r="N79" s="54">
        <v>70</v>
      </c>
      <c r="O79" s="70">
        <v>63451.380000000005</v>
      </c>
      <c r="P79" s="75">
        <v>10852</v>
      </c>
      <c r="Q79" s="75">
        <v>87252</v>
      </c>
      <c r="R79" s="194">
        <v>342034.63</v>
      </c>
      <c r="S79" s="194">
        <v>6362.6</v>
      </c>
      <c r="T79" s="70">
        <v>1329.3700000000006</v>
      </c>
      <c r="U79" s="80">
        <v>81753.173721494197</v>
      </c>
      <c r="V79" s="73"/>
      <c r="X79" s="30"/>
      <c r="Y79" s="54">
        <v>70</v>
      </c>
      <c r="Z79" s="70">
        <v>58814.949999999975</v>
      </c>
      <c r="AA79" s="75">
        <v>14744</v>
      </c>
      <c r="AB79" s="75">
        <v>5835.2000000000007</v>
      </c>
      <c r="AC79" s="75">
        <v>77524.800000000003</v>
      </c>
      <c r="AD79" s="194">
        <v>338203.6</v>
      </c>
      <c r="AE79" s="194">
        <v>7168</v>
      </c>
      <c r="AF79" s="76">
        <v>7.0000000000000007E-2</v>
      </c>
      <c r="AG79" s="70">
        <v>5160.4000000000015</v>
      </c>
      <c r="AH79" s="31"/>
    </row>
    <row r="80" spans="3:34" x14ac:dyDescent="0.25">
      <c r="C80" s="72"/>
      <c r="D80" s="54">
        <v>71</v>
      </c>
      <c r="E80" s="70">
        <v>44493.59</v>
      </c>
      <c r="F80" s="75">
        <v>4638</v>
      </c>
      <c r="G80" s="75">
        <v>89378</v>
      </c>
      <c r="H80" s="194">
        <v>329056</v>
      </c>
      <c r="I80" s="194">
        <v>12341.76</v>
      </c>
      <c r="J80" s="75">
        <v>81753.173721494197</v>
      </c>
      <c r="K80" s="73"/>
      <c r="M80" s="72"/>
      <c r="N80" s="54">
        <v>71</v>
      </c>
      <c r="O80" s="70">
        <v>49237.652499999989</v>
      </c>
      <c r="P80" s="75">
        <v>12371</v>
      </c>
      <c r="Q80" s="75">
        <v>81645</v>
      </c>
      <c r="R80" s="194">
        <v>327540.55249999999</v>
      </c>
      <c r="S80" s="194">
        <v>6082.25</v>
      </c>
      <c r="T80" s="70">
        <v>1515.4475000000007</v>
      </c>
      <c r="U80" s="80">
        <v>81753.173721494197</v>
      </c>
      <c r="V80" s="73"/>
      <c r="X80" s="30"/>
      <c r="Y80" s="54">
        <v>71</v>
      </c>
      <c r="Z80" s="70">
        <v>45228.250000000022</v>
      </c>
      <c r="AA80" s="75">
        <v>13021</v>
      </c>
      <c r="AB80" s="75">
        <v>8099.5</v>
      </c>
      <c r="AC80" s="75">
        <v>72895.5</v>
      </c>
      <c r="AD80" s="194">
        <v>324498.65000000002</v>
      </c>
      <c r="AE80" s="194">
        <v>7049.75</v>
      </c>
      <c r="AF80" s="76">
        <v>0.1</v>
      </c>
      <c r="AG80" s="70">
        <v>4557.3500000000013</v>
      </c>
      <c r="AH80" s="31"/>
    </row>
    <row r="81" spans="3:34" x14ac:dyDescent="0.25">
      <c r="C81" s="72"/>
      <c r="D81" s="54">
        <v>72</v>
      </c>
      <c r="E81" s="70">
        <v>44493.59</v>
      </c>
      <c r="F81" s="75">
        <v>7651</v>
      </c>
      <c r="G81" s="75">
        <v>86365</v>
      </c>
      <c r="H81" s="194">
        <v>329056</v>
      </c>
      <c r="I81" s="194">
        <v>12341.76</v>
      </c>
      <c r="J81" s="75">
        <v>81753.173721494197</v>
      </c>
      <c r="K81" s="73"/>
      <c r="M81" s="72"/>
      <c r="N81" s="54">
        <v>72</v>
      </c>
      <c r="O81" s="70">
        <v>91354.4</v>
      </c>
      <c r="P81" s="75">
        <v>15000</v>
      </c>
      <c r="Q81" s="75">
        <v>91279</v>
      </c>
      <c r="R81" s="194">
        <v>370139</v>
      </c>
      <c r="S81" s="194">
        <v>6563.95</v>
      </c>
      <c r="T81" s="70">
        <v>1837.5000000000009</v>
      </c>
      <c r="U81" s="80">
        <v>81753.173721494197</v>
      </c>
      <c r="V81" s="73"/>
      <c r="X81" s="30"/>
      <c r="Y81" s="54">
        <v>72</v>
      </c>
      <c r="Z81" s="70">
        <v>31500.849999999988</v>
      </c>
      <c r="AA81" s="75">
        <v>11767</v>
      </c>
      <c r="AB81" s="75">
        <v>5471.27</v>
      </c>
      <c r="AC81" s="75">
        <v>72689.73</v>
      </c>
      <c r="AD81" s="194">
        <v>310629.55</v>
      </c>
      <c r="AE81" s="194">
        <v>6908.05</v>
      </c>
      <c r="AF81" s="76">
        <v>7.0000000000000007E-2</v>
      </c>
      <c r="AG81" s="70">
        <v>4118.4500000000007</v>
      </c>
      <c r="AH81" s="31"/>
    </row>
    <row r="82" spans="3:34" x14ac:dyDescent="0.25">
      <c r="C82" s="72"/>
      <c r="D82" s="54">
        <v>73</v>
      </c>
      <c r="E82" s="70">
        <v>58351.91</v>
      </c>
      <c r="F82" s="75">
        <v>5891</v>
      </c>
      <c r="G82" s="75">
        <v>92213</v>
      </c>
      <c r="H82" s="194">
        <v>343364</v>
      </c>
      <c r="I82" s="194">
        <v>12791.44</v>
      </c>
      <c r="J82" s="75">
        <v>81753.173721494197</v>
      </c>
      <c r="K82" s="73"/>
      <c r="M82" s="72"/>
      <c r="N82" s="54">
        <v>73</v>
      </c>
      <c r="O82" s="70">
        <v>91432.554999999993</v>
      </c>
      <c r="P82" s="75">
        <v>13922</v>
      </c>
      <c r="Q82" s="75">
        <v>92357</v>
      </c>
      <c r="R82" s="194">
        <v>370271.05499999999</v>
      </c>
      <c r="S82" s="194">
        <v>6617.85</v>
      </c>
      <c r="T82" s="70">
        <v>1705.4450000000008</v>
      </c>
      <c r="U82" s="80">
        <v>81753.173721494197</v>
      </c>
      <c r="V82" s="73"/>
      <c r="X82" s="30"/>
      <c r="Y82" s="54">
        <v>73</v>
      </c>
      <c r="Z82" s="70">
        <v>30998.650000000023</v>
      </c>
      <c r="AA82" s="75">
        <v>13441</v>
      </c>
      <c r="AB82" s="75">
        <v>6118.96</v>
      </c>
      <c r="AC82" s="75">
        <v>70368.039999999994</v>
      </c>
      <c r="AD82" s="194">
        <v>310043.65000000002</v>
      </c>
      <c r="AE82" s="194">
        <v>6824.35</v>
      </c>
      <c r="AF82" s="76">
        <v>0.08</v>
      </c>
      <c r="AG82" s="70">
        <v>4704.3500000000013</v>
      </c>
      <c r="AH82" s="31"/>
    </row>
    <row r="83" spans="3:34" x14ac:dyDescent="0.25">
      <c r="C83" s="72"/>
      <c r="D83" s="54">
        <v>74</v>
      </c>
      <c r="E83" s="70">
        <v>44493.59</v>
      </c>
      <c r="F83" s="75">
        <v>9410</v>
      </c>
      <c r="G83" s="75">
        <v>84606</v>
      </c>
      <c r="H83" s="194">
        <v>329056</v>
      </c>
      <c r="I83" s="194">
        <v>12341.76</v>
      </c>
      <c r="J83" s="75">
        <v>81753.173721494197</v>
      </c>
      <c r="K83" s="73"/>
      <c r="M83" s="72"/>
      <c r="N83" s="54">
        <v>74</v>
      </c>
      <c r="O83" s="70">
        <v>49441.450000000026</v>
      </c>
      <c r="P83" s="75">
        <v>9560</v>
      </c>
      <c r="Q83" s="75">
        <v>84456</v>
      </c>
      <c r="R83" s="194">
        <v>327884.90000000002</v>
      </c>
      <c r="S83" s="194">
        <v>6222.8</v>
      </c>
      <c r="T83" s="70">
        <v>1171.1000000000006</v>
      </c>
      <c r="U83" s="80">
        <v>81753.173721494197</v>
      </c>
      <c r="V83" s="73"/>
      <c r="X83" s="30"/>
      <c r="Y83" s="54">
        <v>74</v>
      </c>
      <c r="Z83" s="70">
        <v>44891.650000000009</v>
      </c>
      <c r="AA83" s="75">
        <v>14143</v>
      </c>
      <c r="AB83" s="75">
        <v>5591.1100000000006</v>
      </c>
      <c r="AC83" s="75">
        <v>74281.89</v>
      </c>
      <c r="AD83" s="194">
        <v>324105.95</v>
      </c>
      <c r="AE83" s="194">
        <v>6993.65</v>
      </c>
      <c r="AF83" s="76">
        <v>7.0000000000000007E-2</v>
      </c>
      <c r="AG83" s="70">
        <v>4950.0500000000011</v>
      </c>
      <c r="AH83" s="31"/>
    </row>
    <row r="84" spans="3:34" x14ac:dyDescent="0.25">
      <c r="C84" s="72"/>
      <c r="D84" s="54">
        <v>75</v>
      </c>
      <c r="E84" s="70">
        <v>30635.27</v>
      </c>
      <c r="F84" s="75">
        <v>6294</v>
      </c>
      <c r="G84" s="75">
        <v>83634</v>
      </c>
      <c r="H84" s="194">
        <v>314748</v>
      </c>
      <c r="I84" s="194">
        <v>11892.08</v>
      </c>
      <c r="J84" s="75">
        <v>81753.173721494197</v>
      </c>
      <c r="K84" s="73"/>
      <c r="M84" s="72"/>
      <c r="N84" s="54">
        <v>75</v>
      </c>
      <c r="O84" s="70">
        <v>63473.709999999985</v>
      </c>
      <c r="P84" s="75">
        <v>10544</v>
      </c>
      <c r="Q84" s="75">
        <v>87560</v>
      </c>
      <c r="R84" s="194">
        <v>342072.36</v>
      </c>
      <c r="S84" s="194">
        <v>6378</v>
      </c>
      <c r="T84" s="70">
        <v>1291.6400000000006</v>
      </c>
      <c r="U84" s="80">
        <v>81753.173721494197</v>
      </c>
      <c r="V84" s="73"/>
      <c r="X84" s="30"/>
      <c r="Y84" s="54">
        <v>75</v>
      </c>
      <c r="Z84" s="70">
        <v>45771.250000000022</v>
      </c>
      <c r="AA84" s="75">
        <v>11211</v>
      </c>
      <c r="AB84" s="75">
        <v>7452.45</v>
      </c>
      <c r="AC84" s="75">
        <v>75352.55</v>
      </c>
      <c r="AD84" s="194">
        <v>325132.15000000002</v>
      </c>
      <c r="AE84" s="194">
        <v>7140.25</v>
      </c>
      <c r="AF84" s="76">
        <v>0.09</v>
      </c>
      <c r="AG84" s="70">
        <v>3923.8500000000008</v>
      </c>
      <c r="AH84" s="31"/>
    </row>
    <row r="85" spans="3:34" x14ac:dyDescent="0.25">
      <c r="C85" s="72"/>
      <c r="D85" s="54">
        <v>76</v>
      </c>
      <c r="E85" s="70">
        <v>30635.27</v>
      </c>
      <c r="F85" s="75">
        <v>6198</v>
      </c>
      <c r="G85" s="75">
        <v>83730</v>
      </c>
      <c r="H85" s="194">
        <v>314748</v>
      </c>
      <c r="I85" s="194">
        <v>11892.08</v>
      </c>
      <c r="J85" s="75">
        <v>81753.173721494197</v>
      </c>
      <c r="K85" s="73"/>
      <c r="M85" s="72"/>
      <c r="N85" s="54">
        <v>76</v>
      </c>
      <c r="O85" s="70">
        <v>63322.475000000013</v>
      </c>
      <c r="P85" s="75">
        <v>12630</v>
      </c>
      <c r="Q85" s="75">
        <v>85474</v>
      </c>
      <c r="R85" s="194">
        <v>341816.82500000001</v>
      </c>
      <c r="S85" s="194">
        <v>6273.7</v>
      </c>
      <c r="T85" s="70">
        <v>1547.1750000000006</v>
      </c>
      <c r="U85" s="80">
        <v>81753.173721494197</v>
      </c>
      <c r="V85" s="73"/>
      <c r="X85" s="30"/>
      <c r="Y85" s="54">
        <v>76</v>
      </c>
      <c r="Z85" s="70">
        <v>31502.349999999988</v>
      </c>
      <c r="AA85" s="75">
        <v>11762</v>
      </c>
      <c r="AB85" s="75">
        <v>7034.94</v>
      </c>
      <c r="AC85" s="75">
        <v>71131.06</v>
      </c>
      <c r="AD85" s="194">
        <v>310631.3</v>
      </c>
      <c r="AE85" s="194">
        <v>6908.3</v>
      </c>
      <c r="AF85" s="76">
        <v>0.09</v>
      </c>
      <c r="AG85" s="70">
        <v>4116.7000000000007</v>
      </c>
      <c r="AH85" s="31"/>
    </row>
    <row r="86" spans="3:34" x14ac:dyDescent="0.25">
      <c r="C86" s="72"/>
      <c r="D86" s="54">
        <v>77</v>
      </c>
      <c r="E86" s="70">
        <v>44493.59</v>
      </c>
      <c r="F86" s="75">
        <v>6551</v>
      </c>
      <c r="G86" s="75">
        <v>87465</v>
      </c>
      <c r="H86" s="194">
        <v>329056</v>
      </c>
      <c r="I86" s="194">
        <v>12341.76</v>
      </c>
      <c r="J86" s="75">
        <v>81753.173721494197</v>
      </c>
      <c r="K86" s="73"/>
      <c r="M86" s="72"/>
      <c r="N86" s="54">
        <v>77</v>
      </c>
      <c r="O86" s="70">
        <v>49242.872499999998</v>
      </c>
      <c r="P86" s="75">
        <v>12299</v>
      </c>
      <c r="Q86" s="75">
        <v>81717</v>
      </c>
      <c r="R86" s="194">
        <v>327549.3725</v>
      </c>
      <c r="S86" s="194">
        <v>6085.85</v>
      </c>
      <c r="T86" s="70">
        <v>1506.6275000000007</v>
      </c>
      <c r="U86" s="80">
        <v>81753.173721494197</v>
      </c>
      <c r="V86" s="73"/>
      <c r="X86" s="30"/>
      <c r="Y86" s="54">
        <v>77</v>
      </c>
      <c r="Z86" s="70">
        <v>88271.199999999983</v>
      </c>
      <c r="AA86" s="75">
        <v>10569</v>
      </c>
      <c r="AB86" s="75">
        <v>7656.8</v>
      </c>
      <c r="AC86" s="75">
        <v>88053.2</v>
      </c>
      <c r="AD86" s="194">
        <v>368277.35</v>
      </c>
      <c r="AE86" s="194">
        <v>7785.5</v>
      </c>
      <c r="AF86" s="76">
        <v>0.08</v>
      </c>
      <c r="AG86" s="70">
        <v>3699.150000000001</v>
      </c>
      <c r="AH86" s="31"/>
    </row>
    <row r="87" spans="3:34" x14ac:dyDescent="0.25">
      <c r="C87" s="72"/>
      <c r="D87" s="54">
        <v>78</v>
      </c>
      <c r="E87" s="70">
        <v>30635.27</v>
      </c>
      <c r="F87" s="75">
        <v>8062</v>
      </c>
      <c r="G87" s="75">
        <v>81866</v>
      </c>
      <c r="H87" s="194">
        <v>314748</v>
      </c>
      <c r="I87" s="194">
        <v>11892.08</v>
      </c>
      <c r="J87" s="75">
        <v>81753.173721494197</v>
      </c>
      <c r="K87" s="73"/>
      <c r="M87" s="72"/>
      <c r="N87" s="54">
        <v>78</v>
      </c>
      <c r="O87" s="70">
        <v>35170.737499999974</v>
      </c>
      <c r="P87" s="75">
        <v>11865</v>
      </c>
      <c r="Q87" s="75">
        <v>78063</v>
      </c>
      <c r="R87" s="194">
        <v>313294.53749999998</v>
      </c>
      <c r="S87" s="194">
        <v>5903.15</v>
      </c>
      <c r="T87" s="70">
        <v>1453.4625000000005</v>
      </c>
      <c r="U87" s="80">
        <v>81753.173721494197</v>
      </c>
      <c r="V87" s="73"/>
      <c r="X87" s="30"/>
      <c r="Y87" s="54">
        <v>78</v>
      </c>
      <c r="Z87" s="70">
        <v>60262.449999999975</v>
      </c>
      <c r="AA87" s="75">
        <v>9919</v>
      </c>
      <c r="AB87" s="75">
        <v>7936.65</v>
      </c>
      <c r="AC87" s="75">
        <v>80248.350000000006</v>
      </c>
      <c r="AD87" s="194">
        <v>339892.35</v>
      </c>
      <c r="AE87" s="194">
        <v>7409.25</v>
      </c>
      <c r="AF87" s="76">
        <v>0.09</v>
      </c>
      <c r="AG87" s="70">
        <v>3471.650000000001</v>
      </c>
      <c r="AH87" s="31"/>
    </row>
    <row r="88" spans="3:34" x14ac:dyDescent="0.25">
      <c r="C88" s="72"/>
      <c r="D88" s="54">
        <v>79</v>
      </c>
      <c r="E88" s="70">
        <v>44493.59</v>
      </c>
      <c r="F88" s="75">
        <v>9624</v>
      </c>
      <c r="G88" s="75">
        <v>84392</v>
      </c>
      <c r="H88" s="194">
        <v>329056</v>
      </c>
      <c r="I88" s="194">
        <v>12341.76</v>
      </c>
      <c r="J88" s="75">
        <v>81753.173721494197</v>
      </c>
      <c r="K88" s="73"/>
      <c r="M88" s="72"/>
      <c r="N88" s="54">
        <v>79</v>
      </c>
      <c r="O88" s="70">
        <v>49382.217500000006</v>
      </c>
      <c r="P88" s="75">
        <v>10377</v>
      </c>
      <c r="Q88" s="75">
        <v>83639</v>
      </c>
      <c r="R88" s="194">
        <v>327784.8175</v>
      </c>
      <c r="S88" s="194">
        <v>6181.95</v>
      </c>
      <c r="T88" s="70">
        <v>1271.1825000000006</v>
      </c>
      <c r="U88" s="80">
        <v>81753.173721494197</v>
      </c>
      <c r="V88" s="73"/>
      <c r="X88" s="30"/>
      <c r="Y88" s="54">
        <v>79</v>
      </c>
      <c r="Z88" s="70">
        <v>88210.60000000002</v>
      </c>
      <c r="AA88" s="75">
        <v>10771</v>
      </c>
      <c r="AB88" s="75">
        <v>6685.56</v>
      </c>
      <c r="AC88" s="75">
        <v>88822.44</v>
      </c>
      <c r="AD88" s="194">
        <v>368206.65</v>
      </c>
      <c r="AE88" s="194">
        <v>7775.4000000000005</v>
      </c>
      <c r="AF88" s="76">
        <v>7.0000000000000007E-2</v>
      </c>
      <c r="AG88" s="70">
        <v>3769.8500000000008</v>
      </c>
      <c r="AH88" s="31"/>
    </row>
    <row r="89" spans="3:34" x14ac:dyDescent="0.25">
      <c r="C89" s="72"/>
      <c r="D89" s="54">
        <v>80</v>
      </c>
      <c r="E89" s="70">
        <v>44493.59</v>
      </c>
      <c r="F89" s="75">
        <v>9500</v>
      </c>
      <c r="G89" s="75">
        <v>84516</v>
      </c>
      <c r="H89" s="194">
        <v>329056</v>
      </c>
      <c r="I89" s="194">
        <v>12341.76</v>
      </c>
      <c r="J89" s="75">
        <v>81753.173721494197</v>
      </c>
      <c r="K89" s="73"/>
      <c r="M89" s="72"/>
      <c r="N89" s="54">
        <v>80</v>
      </c>
      <c r="O89" s="70">
        <v>91284.074999999983</v>
      </c>
      <c r="P89" s="75">
        <v>15970</v>
      </c>
      <c r="Q89" s="75">
        <v>90309</v>
      </c>
      <c r="R89" s="194">
        <v>370020.17499999999</v>
      </c>
      <c r="S89" s="194">
        <v>6515.45</v>
      </c>
      <c r="T89" s="70">
        <v>1956.325000000001</v>
      </c>
      <c r="U89" s="80">
        <v>81753.173721494197</v>
      </c>
      <c r="V89" s="73"/>
      <c r="X89" s="30"/>
      <c r="Y89" s="54">
        <v>80</v>
      </c>
      <c r="Z89" s="70">
        <v>45488.05</v>
      </c>
      <c r="AA89" s="75">
        <v>12155</v>
      </c>
      <c r="AB89" s="75">
        <v>4093.05</v>
      </c>
      <c r="AC89" s="75">
        <v>77767.95</v>
      </c>
      <c r="AD89" s="194">
        <v>324801.75</v>
      </c>
      <c r="AE89" s="194">
        <v>7093.05</v>
      </c>
      <c r="AF89" s="76">
        <v>0.05</v>
      </c>
      <c r="AG89" s="70">
        <v>4254.2500000000009</v>
      </c>
      <c r="AH89" s="31"/>
    </row>
    <row r="90" spans="3:34" x14ac:dyDescent="0.25">
      <c r="C90" s="72"/>
      <c r="D90" s="54">
        <v>81</v>
      </c>
      <c r="E90" s="70">
        <v>58351.91</v>
      </c>
      <c r="F90" s="75">
        <v>8692</v>
      </c>
      <c r="G90" s="75">
        <v>89412</v>
      </c>
      <c r="H90" s="194">
        <v>343364</v>
      </c>
      <c r="I90" s="194">
        <v>12791.44</v>
      </c>
      <c r="J90" s="75">
        <v>81753.173721494197</v>
      </c>
      <c r="K90" s="73"/>
      <c r="M90" s="72"/>
      <c r="N90" s="54">
        <v>81</v>
      </c>
      <c r="O90" s="70">
        <v>63374.530000000028</v>
      </c>
      <c r="P90" s="75">
        <v>11912</v>
      </c>
      <c r="Q90" s="75">
        <v>86192</v>
      </c>
      <c r="R90" s="194">
        <v>341904.78</v>
      </c>
      <c r="S90" s="194">
        <v>6309.6</v>
      </c>
      <c r="T90" s="70">
        <v>1459.2200000000007</v>
      </c>
      <c r="U90" s="80">
        <v>81753.173721494197</v>
      </c>
      <c r="V90" s="73"/>
      <c r="X90" s="30"/>
      <c r="Y90" s="54">
        <v>81</v>
      </c>
      <c r="Z90" s="70">
        <v>59736.85000000002</v>
      </c>
      <c r="AA90" s="75">
        <v>11671</v>
      </c>
      <c r="AB90" s="75">
        <v>7778.9699999999993</v>
      </c>
      <c r="AC90" s="75">
        <v>78654.03</v>
      </c>
      <c r="AD90" s="194">
        <v>339279.15</v>
      </c>
      <c r="AE90" s="194">
        <v>7321.6500000000005</v>
      </c>
      <c r="AF90" s="76">
        <v>0.09</v>
      </c>
      <c r="AG90" s="70">
        <v>4084.8500000000008</v>
      </c>
      <c r="AH90" s="31"/>
    </row>
    <row r="91" spans="3:34" x14ac:dyDescent="0.25">
      <c r="C91" s="72"/>
      <c r="D91" s="54">
        <v>82</v>
      </c>
      <c r="E91" s="70">
        <v>44493.59</v>
      </c>
      <c r="F91" s="75">
        <v>5713</v>
      </c>
      <c r="G91" s="75">
        <v>88303</v>
      </c>
      <c r="H91" s="194">
        <v>329056</v>
      </c>
      <c r="I91" s="194">
        <v>12341.76</v>
      </c>
      <c r="J91" s="75">
        <v>81753.173721494197</v>
      </c>
      <c r="K91" s="73"/>
      <c r="M91" s="72"/>
      <c r="N91" s="54">
        <v>82</v>
      </c>
      <c r="O91" s="70">
        <v>63190.525000000001</v>
      </c>
      <c r="P91" s="75">
        <v>14450</v>
      </c>
      <c r="Q91" s="75">
        <v>83654</v>
      </c>
      <c r="R91" s="194">
        <v>341593.875</v>
      </c>
      <c r="S91" s="194">
        <v>6182.7</v>
      </c>
      <c r="T91" s="70">
        <v>1770.1250000000007</v>
      </c>
      <c r="U91" s="80">
        <v>81753.173721494197</v>
      </c>
      <c r="V91" s="73"/>
      <c r="X91" s="30"/>
      <c r="Y91" s="54">
        <v>82</v>
      </c>
      <c r="Z91" s="70">
        <v>87227.799999999988</v>
      </c>
      <c r="AA91" s="75">
        <v>14047</v>
      </c>
      <c r="AB91" s="75">
        <v>7378.56</v>
      </c>
      <c r="AC91" s="75">
        <v>84853.440000000002</v>
      </c>
      <c r="AD91" s="194">
        <v>367060.05</v>
      </c>
      <c r="AE91" s="194">
        <v>7611.6</v>
      </c>
      <c r="AF91" s="76">
        <v>0.08</v>
      </c>
      <c r="AG91" s="70">
        <v>4916.4500000000016</v>
      </c>
      <c r="AH91" s="31"/>
    </row>
    <row r="92" spans="3:34" x14ac:dyDescent="0.25">
      <c r="C92" s="72"/>
      <c r="D92" s="54">
        <v>83</v>
      </c>
      <c r="E92" s="70">
        <v>44493.59</v>
      </c>
      <c r="F92" s="75">
        <v>7439</v>
      </c>
      <c r="G92" s="75">
        <v>86577</v>
      </c>
      <c r="H92" s="194">
        <v>329056</v>
      </c>
      <c r="I92" s="194">
        <v>12341.76</v>
      </c>
      <c r="J92" s="75">
        <v>81753.173721494197</v>
      </c>
      <c r="K92" s="73"/>
      <c r="M92" s="72"/>
      <c r="N92" s="54">
        <v>83</v>
      </c>
      <c r="O92" s="70">
        <v>49453.194999999992</v>
      </c>
      <c r="P92" s="75">
        <v>9398</v>
      </c>
      <c r="Q92" s="75">
        <v>84618</v>
      </c>
      <c r="R92" s="194">
        <v>327904.745</v>
      </c>
      <c r="S92" s="194">
        <v>6230.9000000000005</v>
      </c>
      <c r="T92" s="70">
        <v>1151.2550000000006</v>
      </c>
      <c r="U92" s="80">
        <v>81753.173721494197</v>
      </c>
      <c r="V92" s="73"/>
      <c r="X92" s="30"/>
      <c r="Y92" s="54">
        <v>83</v>
      </c>
      <c r="Z92" s="70">
        <v>32353.150000000023</v>
      </c>
      <c r="AA92" s="75">
        <v>8926</v>
      </c>
      <c r="AB92" s="75">
        <v>4860.12</v>
      </c>
      <c r="AC92" s="75">
        <v>76141.88</v>
      </c>
      <c r="AD92" s="194">
        <v>311623.90000000002</v>
      </c>
      <c r="AE92" s="194">
        <v>7050.1</v>
      </c>
      <c r="AF92" s="76">
        <v>0.06</v>
      </c>
      <c r="AG92" s="70">
        <v>3124.1000000000008</v>
      </c>
      <c r="AH92" s="31"/>
    </row>
    <row r="93" spans="3:34" x14ac:dyDescent="0.25">
      <c r="C93" s="72"/>
      <c r="D93" s="54">
        <v>84</v>
      </c>
      <c r="E93" s="70">
        <v>44493.59</v>
      </c>
      <c r="F93" s="75">
        <v>5737</v>
      </c>
      <c r="G93" s="75">
        <v>88279</v>
      </c>
      <c r="H93" s="194">
        <v>329056</v>
      </c>
      <c r="I93" s="194">
        <v>12341.76</v>
      </c>
      <c r="J93" s="75">
        <v>81753.173721494197</v>
      </c>
      <c r="K93" s="73"/>
      <c r="M93" s="72"/>
      <c r="N93" s="54">
        <v>84</v>
      </c>
      <c r="O93" s="70">
        <v>49452.542500000018</v>
      </c>
      <c r="P93" s="75">
        <v>9407</v>
      </c>
      <c r="Q93" s="75">
        <v>84609</v>
      </c>
      <c r="R93" s="194">
        <v>327903.64250000002</v>
      </c>
      <c r="S93" s="194">
        <v>6230.45</v>
      </c>
      <c r="T93" s="70">
        <v>1152.3575000000005</v>
      </c>
      <c r="U93" s="80">
        <v>81753.173721494197</v>
      </c>
      <c r="V93" s="73"/>
      <c r="X93" s="30"/>
      <c r="Y93" s="54">
        <v>84</v>
      </c>
      <c r="Z93" s="70">
        <v>46338.849999999977</v>
      </c>
      <c r="AA93" s="75">
        <v>9319</v>
      </c>
      <c r="AB93" s="75">
        <v>8469.7000000000007</v>
      </c>
      <c r="AC93" s="75">
        <v>76227.3</v>
      </c>
      <c r="AD93" s="194">
        <v>325794.34999999998</v>
      </c>
      <c r="AE93" s="194">
        <v>7234.85</v>
      </c>
      <c r="AF93" s="76">
        <v>0.1</v>
      </c>
      <c r="AG93" s="70">
        <v>3261.650000000001</v>
      </c>
      <c r="AH93" s="31"/>
    </row>
    <row r="94" spans="3:34" x14ac:dyDescent="0.25">
      <c r="C94" s="72"/>
      <c r="D94" s="54">
        <v>85</v>
      </c>
      <c r="E94" s="70">
        <v>44493.59</v>
      </c>
      <c r="F94" s="75">
        <v>7613</v>
      </c>
      <c r="G94" s="75">
        <v>86403</v>
      </c>
      <c r="H94" s="194">
        <v>329056</v>
      </c>
      <c r="I94" s="194">
        <v>12341.76</v>
      </c>
      <c r="J94" s="75">
        <v>81753.173721494197</v>
      </c>
      <c r="K94" s="73"/>
      <c r="M94" s="72"/>
      <c r="N94" s="54">
        <v>85</v>
      </c>
      <c r="O94" s="70">
        <v>49323.129999999983</v>
      </c>
      <c r="P94" s="75">
        <v>11192</v>
      </c>
      <c r="Q94" s="75">
        <v>82824</v>
      </c>
      <c r="R94" s="194">
        <v>327684.98</v>
      </c>
      <c r="S94" s="194">
        <v>6141.2</v>
      </c>
      <c r="T94" s="70">
        <v>1371.0200000000007</v>
      </c>
      <c r="U94" s="80">
        <v>81753.173721494197</v>
      </c>
      <c r="V94" s="73"/>
      <c r="X94" s="30"/>
      <c r="Y94" s="54">
        <v>85</v>
      </c>
      <c r="Z94" s="70">
        <v>45118.44999999999</v>
      </c>
      <c r="AA94" s="75">
        <v>13387</v>
      </c>
      <c r="AB94" s="75">
        <v>8062.9000000000005</v>
      </c>
      <c r="AC94" s="75">
        <v>72566.100000000006</v>
      </c>
      <c r="AD94" s="194">
        <v>324370.55</v>
      </c>
      <c r="AE94" s="194">
        <v>7031.4500000000007</v>
      </c>
      <c r="AF94" s="76">
        <v>0.1</v>
      </c>
      <c r="AG94" s="70">
        <v>4685.4500000000016</v>
      </c>
      <c r="AH94" s="31"/>
    </row>
    <row r="95" spans="3:34" x14ac:dyDescent="0.25">
      <c r="C95" s="72"/>
      <c r="D95" s="54">
        <v>86</v>
      </c>
      <c r="E95" s="70">
        <v>44493.59</v>
      </c>
      <c r="F95" s="75">
        <v>4637</v>
      </c>
      <c r="G95" s="75">
        <v>89379</v>
      </c>
      <c r="H95" s="194">
        <v>329056</v>
      </c>
      <c r="I95" s="194">
        <v>12341.76</v>
      </c>
      <c r="J95" s="75">
        <v>81753.173721494197</v>
      </c>
      <c r="K95" s="73"/>
      <c r="M95" s="72"/>
      <c r="N95" s="54">
        <v>86</v>
      </c>
      <c r="O95" s="70">
        <v>35110.924999999974</v>
      </c>
      <c r="P95" s="75">
        <v>12690</v>
      </c>
      <c r="Q95" s="75">
        <v>77238</v>
      </c>
      <c r="R95" s="194">
        <v>313193.47499999998</v>
      </c>
      <c r="S95" s="194">
        <v>5861.9</v>
      </c>
      <c r="T95" s="70">
        <v>1554.5250000000008</v>
      </c>
      <c r="U95" s="80">
        <v>81753.173721494197</v>
      </c>
      <c r="V95" s="73"/>
      <c r="X95" s="30"/>
      <c r="Y95" s="54">
        <v>86</v>
      </c>
      <c r="Z95" s="70">
        <v>87868.60000000002</v>
      </c>
      <c r="AA95" s="75">
        <v>11911</v>
      </c>
      <c r="AB95" s="75">
        <v>4718.4000000000005</v>
      </c>
      <c r="AC95" s="75">
        <v>89649.600000000006</v>
      </c>
      <c r="AD95" s="194">
        <v>367807.65</v>
      </c>
      <c r="AE95" s="194">
        <v>7718.4000000000005</v>
      </c>
      <c r="AF95" s="76">
        <v>0.05</v>
      </c>
      <c r="AG95" s="70">
        <v>4168.8500000000013</v>
      </c>
      <c r="AH95" s="31"/>
    </row>
    <row r="96" spans="3:34" x14ac:dyDescent="0.25">
      <c r="C96" s="72"/>
      <c r="D96" s="54">
        <v>87</v>
      </c>
      <c r="E96" s="70">
        <v>30635.27</v>
      </c>
      <c r="F96" s="75">
        <v>8085</v>
      </c>
      <c r="G96" s="75">
        <v>81843</v>
      </c>
      <c r="H96" s="194">
        <v>314748</v>
      </c>
      <c r="I96" s="194">
        <v>11892.08</v>
      </c>
      <c r="J96" s="75">
        <v>81753.173721494197</v>
      </c>
      <c r="K96" s="73"/>
      <c r="M96" s="72"/>
      <c r="N96" s="54">
        <v>87</v>
      </c>
      <c r="O96" s="70">
        <v>63313.992499999993</v>
      </c>
      <c r="P96" s="75">
        <v>12747</v>
      </c>
      <c r="Q96" s="75">
        <v>85357</v>
      </c>
      <c r="R96" s="194">
        <v>341802.49249999999</v>
      </c>
      <c r="S96" s="194">
        <v>6267.85</v>
      </c>
      <c r="T96" s="70">
        <v>1561.5075000000006</v>
      </c>
      <c r="U96" s="80">
        <v>81753.173721494197</v>
      </c>
      <c r="V96" s="73"/>
      <c r="X96" s="30"/>
      <c r="Y96" s="54">
        <v>87</v>
      </c>
      <c r="Z96" s="70">
        <v>45400.750000000022</v>
      </c>
      <c r="AA96" s="75">
        <v>12446</v>
      </c>
      <c r="AB96" s="75">
        <v>4078.5</v>
      </c>
      <c r="AC96" s="75">
        <v>77491.5</v>
      </c>
      <c r="AD96" s="194">
        <v>324699.90000000002</v>
      </c>
      <c r="AE96" s="194">
        <v>7078.5</v>
      </c>
      <c r="AF96" s="76">
        <v>0.05</v>
      </c>
      <c r="AG96" s="70">
        <v>4356.1000000000013</v>
      </c>
      <c r="AH96" s="31"/>
    </row>
    <row r="97" spans="3:34" x14ac:dyDescent="0.25">
      <c r="C97" s="72"/>
      <c r="D97" s="54">
        <v>88</v>
      </c>
      <c r="E97" s="70">
        <v>44493.59</v>
      </c>
      <c r="F97" s="75">
        <v>7600</v>
      </c>
      <c r="G97" s="75">
        <v>86416</v>
      </c>
      <c r="H97" s="194">
        <v>329056</v>
      </c>
      <c r="I97" s="194">
        <v>12341.76</v>
      </c>
      <c r="J97" s="75">
        <v>81753.173721494197</v>
      </c>
      <c r="K97" s="73"/>
      <c r="M97" s="72"/>
      <c r="N97" s="54">
        <v>88</v>
      </c>
      <c r="O97" s="70">
        <v>63527.505000000005</v>
      </c>
      <c r="P97" s="75">
        <v>9802</v>
      </c>
      <c r="Q97" s="75">
        <v>88302</v>
      </c>
      <c r="R97" s="194">
        <v>342163.255</v>
      </c>
      <c r="S97" s="194">
        <v>6415.1</v>
      </c>
      <c r="T97" s="70">
        <v>1200.7450000000006</v>
      </c>
      <c r="U97" s="80">
        <v>81753.173721494197</v>
      </c>
      <c r="V97" s="73"/>
      <c r="X97" s="30"/>
      <c r="Y97" s="54">
        <v>88</v>
      </c>
      <c r="Z97" s="70">
        <v>32340.55000000001</v>
      </c>
      <c r="AA97" s="75">
        <v>8968</v>
      </c>
      <c r="AB97" s="75">
        <v>8096</v>
      </c>
      <c r="AC97" s="75">
        <v>72864</v>
      </c>
      <c r="AD97" s="194">
        <v>311609.2</v>
      </c>
      <c r="AE97" s="194">
        <v>7048</v>
      </c>
      <c r="AF97" s="76">
        <v>0.1</v>
      </c>
      <c r="AG97" s="70">
        <v>3138.8000000000006</v>
      </c>
      <c r="AH97" s="31"/>
    </row>
    <row r="98" spans="3:34" x14ac:dyDescent="0.25">
      <c r="C98" s="72"/>
      <c r="D98" s="54">
        <v>89</v>
      </c>
      <c r="E98" s="70">
        <v>44493.59</v>
      </c>
      <c r="F98" s="75">
        <v>9417</v>
      </c>
      <c r="G98" s="75">
        <v>84599</v>
      </c>
      <c r="H98" s="194">
        <v>329056</v>
      </c>
      <c r="I98" s="194">
        <v>12341.76</v>
      </c>
      <c r="J98" s="75">
        <v>81753.173721494197</v>
      </c>
      <c r="K98" s="73"/>
      <c r="M98" s="72"/>
      <c r="N98" s="54">
        <v>89</v>
      </c>
      <c r="O98" s="70">
        <v>63518.659999999996</v>
      </c>
      <c r="P98" s="75">
        <v>9924</v>
      </c>
      <c r="Q98" s="75">
        <v>88180</v>
      </c>
      <c r="R98" s="194">
        <v>342148.31</v>
      </c>
      <c r="S98" s="194">
        <v>6409</v>
      </c>
      <c r="T98" s="70">
        <v>1215.6900000000005</v>
      </c>
      <c r="U98" s="80">
        <v>81753.173721494197</v>
      </c>
      <c r="V98" s="73"/>
      <c r="X98" s="30"/>
      <c r="Y98" s="54">
        <v>89</v>
      </c>
      <c r="Z98" s="70">
        <v>58821.549999999988</v>
      </c>
      <c r="AA98" s="75">
        <v>14722</v>
      </c>
      <c r="AB98" s="75">
        <v>7504.38</v>
      </c>
      <c r="AC98" s="75">
        <v>75877.62</v>
      </c>
      <c r="AD98" s="194">
        <v>338211.3</v>
      </c>
      <c r="AE98" s="194">
        <v>7169.1</v>
      </c>
      <c r="AF98" s="76">
        <v>0.09</v>
      </c>
      <c r="AG98" s="70">
        <v>5152.7000000000016</v>
      </c>
      <c r="AH98" s="31"/>
    </row>
    <row r="99" spans="3:34" x14ac:dyDescent="0.25">
      <c r="C99" s="72"/>
      <c r="D99" s="54">
        <v>90</v>
      </c>
      <c r="E99" s="70">
        <v>30635.27</v>
      </c>
      <c r="F99" s="75">
        <v>7154</v>
      </c>
      <c r="G99" s="75">
        <v>82774</v>
      </c>
      <c r="H99" s="194">
        <v>314748</v>
      </c>
      <c r="I99" s="194">
        <v>11892.08</v>
      </c>
      <c r="J99" s="75">
        <v>81753.173721494197</v>
      </c>
      <c r="K99" s="73"/>
      <c r="M99" s="72"/>
      <c r="N99" s="54">
        <v>90</v>
      </c>
      <c r="O99" s="70">
        <v>49185.452499999978</v>
      </c>
      <c r="P99" s="75">
        <v>13091</v>
      </c>
      <c r="Q99" s="75">
        <v>80925</v>
      </c>
      <c r="R99" s="194">
        <v>327452.35249999998</v>
      </c>
      <c r="S99" s="194">
        <v>6046.25</v>
      </c>
      <c r="T99" s="70">
        <v>1603.6475000000007</v>
      </c>
      <c r="U99" s="80">
        <v>81753.173721494197</v>
      </c>
      <c r="V99" s="73"/>
      <c r="X99" s="30"/>
      <c r="Y99" s="54">
        <v>90</v>
      </c>
      <c r="Z99" s="70">
        <v>45769.44999999999</v>
      </c>
      <c r="AA99" s="75">
        <v>11217</v>
      </c>
      <c r="AB99" s="75">
        <v>5795.93</v>
      </c>
      <c r="AC99" s="75">
        <v>77003.070000000007</v>
      </c>
      <c r="AD99" s="194">
        <v>325130.05</v>
      </c>
      <c r="AE99" s="194">
        <v>7139.95</v>
      </c>
      <c r="AF99" s="76">
        <v>7.0000000000000007E-2</v>
      </c>
      <c r="AG99" s="70">
        <v>3925.9500000000012</v>
      </c>
      <c r="AH99" s="31"/>
    </row>
    <row r="100" spans="3:34" x14ac:dyDescent="0.25">
      <c r="C100" s="72"/>
      <c r="D100" s="54">
        <v>91</v>
      </c>
      <c r="E100" s="70">
        <v>30635.27</v>
      </c>
      <c r="F100" s="75">
        <v>5465</v>
      </c>
      <c r="G100" s="75">
        <v>84463</v>
      </c>
      <c r="H100" s="194">
        <v>314748</v>
      </c>
      <c r="I100" s="194">
        <v>11892.08</v>
      </c>
      <c r="J100" s="75">
        <v>81753.173721494197</v>
      </c>
      <c r="K100" s="73"/>
      <c r="M100" s="72"/>
      <c r="N100" s="54">
        <v>91</v>
      </c>
      <c r="O100" s="70">
        <v>49321.897500000021</v>
      </c>
      <c r="P100" s="75">
        <v>11209</v>
      </c>
      <c r="Q100" s="75">
        <v>82807</v>
      </c>
      <c r="R100" s="194">
        <v>327682.89750000002</v>
      </c>
      <c r="S100" s="194">
        <v>6140.35</v>
      </c>
      <c r="T100" s="70">
        <v>1373.1025000000006</v>
      </c>
      <c r="U100" s="80">
        <v>81753.173721494197</v>
      </c>
      <c r="V100" s="73"/>
      <c r="X100" s="30"/>
      <c r="Y100" s="54">
        <v>91</v>
      </c>
      <c r="Z100" s="70">
        <v>59648.35000000002</v>
      </c>
      <c r="AA100" s="75">
        <v>11966</v>
      </c>
      <c r="AB100" s="75">
        <v>6029.6600000000008</v>
      </c>
      <c r="AC100" s="75">
        <v>80108.34</v>
      </c>
      <c r="AD100" s="194">
        <v>339175.9</v>
      </c>
      <c r="AE100" s="194">
        <v>7306.9000000000005</v>
      </c>
      <c r="AF100" s="76">
        <v>7.0000000000000007E-2</v>
      </c>
      <c r="AG100" s="70">
        <v>4188.1000000000013</v>
      </c>
      <c r="AH100" s="31"/>
    </row>
    <row r="101" spans="3:34" x14ac:dyDescent="0.25">
      <c r="C101" s="72"/>
      <c r="D101" s="54">
        <v>92</v>
      </c>
      <c r="E101" s="70">
        <v>44493.59</v>
      </c>
      <c r="F101" s="75">
        <v>4571</v>
      </c>
      <c r="G101" s="75">
        <v>89445</v>
      </c>
      <c r="H101" s="194">
        <v>329056</v>
      </c>
      <c r="I101" s="194">
        <v>12341.76</v>
      </c>
      <c r="J101" s="75">
        <v>81753.173721494197</v>
      </c>
      <c r="K101" s="73"/>
      <c r="M101" s="72"/>
      <c r="N101" s="54">
        <v>92</v>
      </c>
      <c r="O101" s="70">
        <v>35238.670000000006</v>
      </c>
      <c r="P101" s="75">
        <v>10928</v>
      </c>
      <c r="Q101" s="75">
        <v>79000</v>
      </c>
      <c r="R101" s="194">
        <v>313409.32</v>
      </c>
      <c r="S101" s="194">
        <v>5950</v>
      </c>
      <c r="T101" s="70">
        <v>1338.6800000000005</v>
      </c>
      <c r="U101" s="80">
        <v>81753.173721494197</v>
      </c>
      <c r="V101" s="73"/>
      <c r="X101" s="30"/>
      <c r="Y101" s="54">
        <v>92</v>
      </c>
      <c r="Z101" s="70">
        <v>87262.000000000015</v>
      </c>
      <c r="AA101" s="75">
        <v>13933</v>
      </c>
      <c r="AB101" s="75">
        <v>9234.6</v>
      </c>
      <c r="AC101" s="75">
        <v>83111.399999999994</v>
      </c>
      <c r="AD101" s="194">
        <v>367099.95</v>
      </c>
      <c r="AE101" s="194">
        <v>7617.3</v>
      </c>
      <c r="AF101" s="76">
        <v>0.1</v>
      </c>
      <c r="AG101" s="70">
        <v>4876.5500000000011</v>
      </c>
      <c r="AH101" s="31"/>
    </row>
    <row r="102" spans="3:34" x14ac:dyDescent="0.25">
      <c r="C102" s="72"/>
      <c r="D102" s="54">
        <v>93</v>
      </c>
      <c r="E102" s="70">
        <v>30635.27</v>
      </c>
      <c r="F102" s="75">
        <v>6305</v>
      </c>
      <c r="G102" s="75">
        <v>83623</v>
      </c>
      <c r="H102" s="194">
        <v>314748</v>
      </c>
      <c r="I102" s="194">
        <v>11892.08</v>
      </c>
      <c r="J102" s="75">
        <v>81753.173721494197</v>
      </c>
      <c r="K102" s="73"/>
      <c r="M102" s="72"/>
      <c r="N102" s="54">
        <v>93</v>
      </c>
      <c r="O102" s="70">
        <v>49322.405000000006</v>
      </c>
      <c r="P102" s="75">
        <v>11202</v>
      </c>
      <c r="Q102" s="75">
        <v>82814</v>
      </c>
      <c r="R102" s="194">
        <v>327683.755</v>
      </c>
      <c r="S102" s="194">
        <v>6140.7</v>
      </c>
      <c r="T102" s="70">
        <v>1372.2450000000006</v>
      </c>
      <c r="U102" s="80">
        <v>81753.173721494197</v>
      </c>
      <c r="V102" s="73"/>
      <c r="X102" s="30"/>
      <c r="Y102" s="54">
        <v>93</v>
      </c>
      <c r="Z102" s="70">
        <v>31525.749999999978</v>
      </c>
      <c r="AA102" s="75">
        <v>11684</v>
      </c>
      <c r="AB102" s="75">
        <v>6259.52</v>
      </c>
      <c r="AC102" s="75">
        <v>71984.479999999996</v>
      </c>
      <c r="AD102" s="194">
        <v>310658.59999999998</v>
      </c>
      <c r="AE102" s="194">
        <v>6912.2000000000007</v>
      </c>
      <c r="AF102" s="76">
        <v>0.08</v>
      </c>
      <c r="AG102" s="70">
        <v>4089.400000000001</v>
      </c>
      <c r="AH102" s="31"/>
    </row>
    <row r="103" spans="3:34" x14ac:dyDescent="0.25">
      <c r="C103" s="72"/>
      <c r="D103" s="54">
        <v>94</v>
      </c>
      <c r="E103" s="70">
        <v>30635.27</v>
      </c>
      <c r="F103" s="75">
        <v>6272</v>
      </c>
      <c r="G103" s="75">
        <v>83656</v>
      </c>
      <c r="H103" s="194">
        <v>314748</v>
      </c>
      <c r="I103" s="194">
        <v>11892.08</v>
      </c>
      <c r="J103" s="75">
        <v>81753.173721494197</v>
      </c>
      <c r="K103" s="73"/>
      <c r="M103" s="72"/>
      <c r="N103" s="54">
        <v>94</v>
      </c>
      <c r="O103" s="70">
        <v>35316.027499999967</v>
      </c>
      <c r="P103" s="75">
        <v>9861</v>
      </c>
      <c r="Q103" s="75">
        <v>80067</v>
      </c>
      <c r="R103" s="194">
        <v>313540.02749999997</v>
      </c>
      <c r="S103" s="194">
        <v>6003.35</v>
      </c>
      <c r="T103" s="70">
        <v>1207.9725000000005</v>
      </c>
      <c r="U103" s="80">
        <v>81753.173721494197</v>
      </c>
      <c r="V103" s="73"/>
      <c r="X103" s="30"/>
      <c r="Y103" s="54">
        <v>94</v>
      </c>
      <c r="Z103" s="70">
        <v>59447.949999999975</v>
      </c>
      <c r="AA103" s="75">
        <v>12634</v>
      </c>
      <c r="AB103" s="75">
        <v>6837.6</v>
      </c>
      <c r="AC103" s="75">
        <v>78632.399999999994</v>
      </c>
      <c r="AD103" s="194">
        <v>338942.1</v>
      </c>
      <c r="AE103" s="194">
        <v>7273.5</v>
      </c>
      <c r="AF103" s="76">
        <v>0.08</v>
      </c>
      <c r="AG103" s="70">
        <v>4421.9000000000015</v>
      </c>
      <c r="AH103" s="31"/>
    </row>
    <row r="104" spans="3:34" x14ac:dyDescent="0.25">
      <c r="C104" s="72"/>
      <c r="D104" s="54">
        <v>95</v>
      </c>
      <c r="E104" s="70">
        <v>30635.27</v>
      </c>
      <c r="F104" s="75">
        <v>8845</v>
      </c>
      <c r="G104" s="75">
        <v>81083</v>
      </c>
      <c r="H104" s="194">
        <v>314748</v>
      </c>
      <c r="I104" s="194">
        <v>11892.08</v>
      </c>
      <c r="J104" s="75">
        <v>81753.173721494197</v>
      </c>
      <c r="K104" s="73"/>
      <c r="M104" s="72"/>
      <c r="N104" s="54">
        <v>95</v>
      </c>
      <c r="O104" s="70">
        <v>35056.187499999985</v>
      </c>
      <c r="P104" s="75">
        <v>13445</v>
      </c>
      <c r="Q104" s="75">
        <v>76483</v>
      </c>
      <c r="R104" s="194">
        <v>313100.98749999999</v>
      </c>
      <c r="S104" s="194">
        <v>5824.15</v>
      </c>
      <c r="T104" s="70">
        <v>1647.0125000000007</v>
      </c>
      <c r="U104" s="80">
        <v>81753.173721494197</v>
      </c>
      <c r="V104" s="73"/>
      <c r="X104" s="30"/>
      <c r="Y104" s="54">
        <v>95</v>
      </c>
      <c r="Z104" s="70">
        <v>59416.15</v>
      </c>
      <c r="AA104" s="75">
        <v>12740</v>
      </c>
      <c r="AB104" s="75">
        <v>5975.4800000000005</v>
      </c>
      <c r="AC104" s="75">
        <v>79388.52</v>
      </c>
      <c r="AD104" s="194">
        <v>338905</v>
      </c>
      <c r="AE104" s="194">
        <v>7268.2</v>
      </c>
      <c r="AF104" s="76">
        <v>7.0000000000000007E-2</v>
      </c>
      <c r="AG104" s="70">
        <v>4459.0000000000009</v>
      </c>
      <c r="AH104" s="31"/>
    </row>
    <row r="105" spans="3:34" x14ac:dyDescent="0.25">
      <c r="C105" s="72"/>
      <c r="D105" s="54">
        <v>96</v>
      </c>
      <c r="E105" s="70">
        <v>30635.27</v>
      </c>
      <c r="F105" s="75">
        <v>6270</v>
      </c>
      <c r="G105" s="75">
        <v>83658</v>
      </c>
      <c r="H105" s="194">
        <v>314748</v>
      </c>
      <c r="I105" s="194">
        <v>11892.08</v>
      </c>
      <c r="J105" s="75">
        <v>81753.173721494197</v>
      </c>
      <c r="K105" s="73"/>
      <c r="M105" s="72"/>
      <c r="N105" s="54">
        <v>96</v>
      </c>
      <c r="O105" s="70">
        <v>63532.507500000022</v>
      </c>
      <c r="P105" s="75">
        <v>9733</v>
      </c>
      <c r="Q105" s="75">
        <v>88371</v>
      </c>
      <c r="R105" s="194">
        <v>342171.70750000002</v>
      </c>
      <c r="S105" s="194">
        <v>6418.55</v>
      </c>
      <c r="T105" s="70">
        <v>1192.2925000000005</v>
      </c>
      <c r="U105" s="80">
        <v>81753.173721494197</v>
      </c>
      <c r="V105" s="73"/>
      <c r="X105" s="30"/>
      <c r="Y105" s="54">
        <v>96</v>
      </c>
      <c r="Z105" s="70">
        <v>59111.949999999975</v>
      </c>
      <c r="AA105" s="75">
        <v>13754</v>
      </c>
      <c r="AB105" s="75">
        <v>7591.5</v>
      </c>
      <c r="AC105" s="75">
        <v>76758.5</v>
      </c>
      <c r="AD105" s="194">
        <v>338550.1</v>
      </c>
      <c r="AE105" s="194">
        <v>7217.5</v>
      </c>
      <c r="AF105" s="76">
        <v>0.09</v>
      </c>
      <c r="AG105" s="70">
        <v>4813.9000000000015</v>
      </c>
      <c r="AH105" s="31"/>
    </row>
    <row r="106" spans="3:34" x14ac:dyDescent="0.25">
      <c r="C106" s="72"/>
      <c r="D106" s="54">
        <v>97</v>
      </c>
      <c r="E106" s="70">
        <v>44493.59</v>
      </c>
      <c r="F106" s="75">
        <v>8567</v>
      </c>
      <c r="G106" s="75">
        <v>85449</v>
      </c>
      <c r="H106" s="194">
        <v>329056</v>
      </c>
      <c r="I106" s="194">
        <v>12341.76</v>
      </c>
      <c r="J106" s="75">
        <v>81753.173721494197</v>
      </c>
      <c r="K106" s="73"/>
      <c r="M106" s="72"/>
      <c r="N106" s="54">
        <v>97</v>
      </c>
      <c r="O106" s="70">
        <v>49180.377499999966</v>
      </c>
      <c r="P106" s="75">
        <v>13161</v>
      </c>
      <c r="Q106" s="75">
        <v>80855</v>
      </c>
      <c r="R106" s="194">
        <v>327443.77749999997</v>
      </c>
      <c r="S106" s="194">
        <v>6042.75</v>
      </c>
      <c r="T106" s="70">
        <v>1612.2225000000008</v>
      </c>
      <c r="U106" s="80">
        <v>81753.173721494197</v>
      </c>
      <c r="V106" s="73"/>
      <c r="X106" s="30"/>
      <c r="Y106" s="54">
        <v>97</v>
      </c>
      <c r="Z106" s="70">
        <v>60051.85000000002</v>
      </c>
      <c r="AA106" s="75">
        <v>10621</v>
      </c>
      <c r="AB106" s="75">
        <v>6998.64</v>
      </c>
      <c r="AC106" s="75">
        <v>80484.36</v>
      </c>
      <c r="AD106" s="194">
        <v>339646.65</v>
      </c>
      <c r="AE106" s="194">
        <v>7374.1500000000005</v>
      </c>
      <c r="AF106" s="76">
        <v>0.08</v>
      </c>
      <c r="AG106" s="70">
        <v>3717.3500000000008</v>
      </c>
      <c r="AH106" s="31"/>
    </row>
    <row r="107" spans="3:34" x14ac:dyDescent="0.25">
      <c r="C107" s="72"/>
      <c r="D107" s="54">
        <v>98</v>
      </c>
      <c r="E107" s="70">
        <v>58351.91</v>
      </c>
      <c r="F107" s="75">
        <v>4859</v>
      </c>
      <c r="G107" s="75">
        <v>93245</v>
      </c>
      <c r="H107" s="194">
        <v>343364</v>
      </c>
      <c r="I107" s="194">
        <v>12791.44</v>
      </c>
      <c r="J107" s="75">
        <v>81753.173721494197</v>
      </c>
      <c r="K107" s="73"/>
      <c r="M107" s="72"/>
      <c r="N107" s="54">
        <v>98</v>
      </c>
      <c r="O107" s="70">
        <v>63525.330000000016</v>
      </c>
      <c r="P107" s="75">
        <v>9832</v>
      </c>
      <c r="Q107" s="75">
        <v>88272</v>
      </c>
      <c r="R107" s="194">
        <v>342159.58</v>
      </c>
      <c r="S107" s="194">
        <v>6413.6</v>
      </c>
      <c r="T107" s="70">
        <v>1204.4200000000005</v>
      </c>
      <c r="U107" s="80">
        <v>81753.173721494197</v>
      </c>
      <c r="V107" s="73"/>
      <c r="X107" s="30"/>
      <c r="Y107" s="54">
        <v>98</v>
      </c>
      <c r="Z107" s="70">
        <v>45204.250000000022</v>
      </c>
      <c r="AA107" s="75">
        <v>13101</v>
      </c>
      <c r="AB107" s="75">
        <v>8091.5</v>
      </c>
      <c r="AC107" s="75">
        <v>72823.5</v>
      </c>
      <c r="AD107" s="194">
        <v>324470.65000000002</v>
      </c>
      <c r="AE107" s="194">
        <v>7045.75</v>
      </c>
      <c r="AF107" s="76">
        <v>0.1</v>
      </c>
      <c r="AG107" s="70">
        <v>4585.3500000000013</v>
      </c>
      <c r="AH107" s="31"/>
    </row>
    <row r="108" spans="3:34" x14ac:dyDescent="0.25">
      <c r="C108" s="72"/>
      <c r="D108" s="54">
        <v>99</v>
      </c>
      <c r="E108" s="70">
        <v>44493.59</v>
      </c>
      <c r="F108" s="75">
        <v>7610</v>
      </c>
      <c r="G108" s="75">
        <v>86406</v>
      </c>
      <c r="H108" s="194">
        <v>329056</v>
      </c>
      <c r="I108" s="194">
        <v>12341.76</v>
      </c>
      <c r="J108" s="75">
        <v>81753.173721494197</v>
      </c>
      <c r="K108" s="73"/>
      <c r="M108" s="72"/>
      <c r="N108" s="54">
        <v>99</v>
      </c>
      <c r="O108" s="70">
        <v>49115.055000000029</v>
      </c>
      <c r="P108" s="75">
        <v>14062</v>
      </c>
      <c r="Q108" s="75">
        <v>79954</v>
      </c>
      <c r="R108" s="194">
        <v>327333.40500000003</v>
      </c>
      <c r="S108" s="194">
        <v>5997.7000000000007</v>
      </c>
      <c r="T108" s="70">
        <v>1722.5950000000007</v>
      </c>
      <c r="U108" s="80">
        <v>81753.173721494197</v>
      </c>
      <c r="V108" s="73"/>
      <c r="X108" s="30"/>
      <c r="Y108" s="54">
        <v>99</v>
      </c>
      <c r="Z108" s="70">
        <v>46297.150000000009</v>
      </c>
      <c r="AA108" s="75">
        <v>9458</v>
      </c>
      <c r="AB108" s="75">
        <v>7610.2199999999993</v>
      </c>
      <c r="AC108" s="75">
        <v>76947.78</v>
      </c>
      <c r="AD108" s="194">
        <v>325745.7</v>
      </c>
      <c r="AE108" s="194">
        <v>7227.9000000000005</v>
      </c>
      <c r="AF108" s="76">
        <v>0.09</v>
      </c>
      <c r="AG108" s="70">
        <v>3310.3000000000006</v>
      </c>
      <c r="AH108" s="31"/>
    </row>
    <row r="109" spans="3:34" x14ac:dyDescent="0.25">
      <c r="C109" s="72"/>
      <c r="D109" s="54">
        <v>100</v>
      </c>
      <c r="E109" s="70">
        <v>58351.91</v>
      </c>
      <c r="F109" s="75">
        <v>6056</v>
      </c>
      <c r="G109" s="75">
        <v>92048</v>
      </c>
      <c r="H109" s="194">
        <v>343364</v>
      </c>
      <c r="I109" s="194">
        <v>12791.44</v>
      </c>
      <c r="J109" s="75">
        <v>81753.173721494197</v>
      </c>
      <c r="K109" s="73"/>
      <c r="M109" s="72"/>
      <c r="N109" s="54">
        <v>100</v>
      </c>
      <c r="O109" s="70">
        <v>35255.344999999994</v>
      </c>
      <c r="P109" s="75">
        <v>10698</v>
      </c>
      <c r="Q109" s="75">
        <v>79230</v>
      </c>
      <c r="R109" s="194">
        <v>313437.495</v>
      </c>
      <c r="S109" s="194">
        <v>5961.5</v>
      </c>
      <c r="T109" s="70">
        <v>1310.5050000000006</v>
      </c>
      <c r="U109" s="80">
        <v>81753.173721494197</v>
      </c>
      <c r="V109" s="73"/>
      <c r="X109" s="30"/>
      <c r="Y109" s="54">
        <v>100</v>
      </c>
      <c r="Z109" s="70">
        <v>59147.949999999975</v>
      </c>
      <c r="AA109" s="75">
        <v>13634</v>
      </c>
      <c r="AB109" s="75">
        <v>5068.2</v>
      </c>
      <c r="AC109" s="75">
        <v>79401.8</v>
      </c>
      <c r="AD109" s="194">
        <v>338592.1</v>
      </c>
      <c r="AE109" s="194">
        <v>7223.5</v>
      </c>
      <c r="AF109" s="76">
        <v>0.06</v>
      </c>
      <c r="AG109" s="70">
        <v>4771.9000000000015</v>
      </c>
      <c r="AH109" s="31"/>
    </row>
    <row r="110" spans="3:34" x14ac:dyDescent="0.25">
      <c r="C110" s="72"/>
      <c r="D110" s="54">
        <v>101</v>
      </c>
      <c r="E110" s="70">
        <v>30635.27</v>
      </c>
      <c r="F110" s="75">
        <v>6293</v>
      </c>
      <c r="G110" s="75">
        <v>83635</v>
      </c>
      <c r="H110" s="194">
        <v>314748</v>
      </c>
      <c r="I110" s="194">
        <v>11892.08</v>
      </c>
      <c r="J110" s="75">
        <v>81753.173721494197</v>
      </c>
      <c r="K110" s="73"/>
      <c r="M110" s="72"/>
      <c r="N110" s="54">
        <v>101</v>
      </c>
      <c r="O110" s="70">
        <v>63529.100000000013</v>
      </c>
      <c r="P110" s="75">
        <v>9780</v>
      </c>
      <c r="Q110" s="75">
        <v>88324</v>
      </c>
      <c r="R110" s="194">
        <v>342165.95</v>
      </c>
      <c r="S110" s="194">
        <v>6416.2</v>
      </c>
      <c r="T110" s="70">
        <v>1198.0500000000004</v>
      </c>
      <c r="U110" s="80">
        <v>81753.173721494197</v>
      </c>
      <c r="V110" s="73"/>
      <c r="X110" s="30"/>
      <c r="Y110" s="54">
        <v>101</v>
      </c>
      <c r="Z110" s="70">
        <v>31531.749999999978</v>
      </c>
      <c r="AA110" s="75">
        <v>11664</v>
      </c>
      <c r="AB110" s="75">
        <v>6261.12</v>
      </c>
      <c r="AC110" s="75">
        <v>72002.880000000005</v>
      </c>
      <c r="AD110" s="194">
        <v>310665.59999999998</v>
      </c>
      <c r="AE110" s="194">
        <v>6913.2000000000007</v>
      </c>
      <c r="AF110" s="76">
        <v>0.08</v>
      </c>
      <c r="AG110" s="70">
        <v>4082.400000000001</v>
      </c>
      <c r="AH110" s="31"/>
    </row>
    <row r="111" spans="3:34" x14ac:dyDescent="0.25">
      <c r="C111" s="72"/>
      <c r="D111" s="54">
        <v>102</v>
      </c>
      <c r="E111" s="70">
        <v>44493.59</v>
      </c>
      <c r="F111" s="75">
        <v>5628</v>
      </c>
      <c r="G111" s="75">
        <v>88388</v>
      </c>
      <c r="H111" s="194">
        <v>329056</v>
      </c>
      <c r="I111" s="194">
        <v>12341.76</v>
      </c>
      <c r="J111" s="75">
        <v>81753.173721494197</v>
      </c>
      <c r="K111" s="73"/>
      <c r="M111" s="72"/>
      <c r="N111" s="54">
        <v>102</v>
      </c>
      <c r="O111" s="70">
        <v>35120.785000000011</v>
      </c>
      <c r="P111" s="75">
        <v>12554</v>
      </c>
      <c r="Q111" s="75">
        <v>77374</v>
      </c>
      <c r="R111" s="194">
        <v>313210.13500000001</v>
      </c>
      <c r="S111" s="194">
        <v>5868.7000000000007</v>
      </c>
      <c r="T111" s="70">
        <v>1537.8650000000007</v>
      </c>
      <c r="U111" s="80">
        <v>81753.173721494197</v>
      </c>
      <c r="V111" s="73"/>
      <c r="X111" s="30"/>
      <c r="Y111" s="54">
        <v>102</v>
      </c>
      <c r="Z111" s="70">
        <v>58808.949999999975</v>
      </c>
      <c r="AA111" s="75">
        <v>14764</v>
      </c>
      <c r="AB111" s="75">
        <v>6667.2</v>
      </c>
      <c r="AC111" s="75">
        <v>76672.800000000003</v>
      </c>
      <c r="AD111" s="194">
        <v>338196.6</v>
      </c>
      <c r="AE111" s="194">
        <v>7167</v>
      </c>
      <c r="AF111" s="76">
        <v>0.08</v>
      </c>
      <c r="AG111" s="70">
        <v>5167.4000000000015</v>
      </c>
      <c r="AH111" s="31"/>
    </row>
    <row r="112" spans="3:34" x14ac:dyDescent="0.25">
      <c r="C112" s="72"/>
      <c r="D112" s="54">
        <v>103</v>
      </c>
      <c r="E112" s="70">
        <v>44493.59</v>
      </c>
      <c r="F112" s="75">
        <v>9419</v>
      </c>
      <c r="G112" s="75">
        <v>84597</v>
      </c>
      <c r="H112" s="194">
        <v>329056</v>
      </c>
      <c r="I112" s="194">
        <v>12341.76</v>
      </c>
      <c r="J112" s="75">
        <v>81753.173721494197</v>
      </c>
      <c r="K112" s="73"/>
      <c r="M112" s="72"/>
      <c r="N112" s="54">
        <v>103</v>
      </c>
      <c r="O112" s="70">
        <v>63512.715000000011</v>
      </c>
      <c r="P112" s="75">
        <v>10006</v>
      </c>
      <c r="Q112" s="75">
        <v>88098</v>
      </c>
      <c r="R112" s="194">
        <v>342138.26500000001</v>
      </c>
      <c r="S112" s="194">
        <v>6404.9000000000005</v>
      </c>
      <c r="T112" s="70">
        <v>1225.7350000000006</v>
      </c>
      <c r="U112" s="80">
        <v>81753.173721494197</v>
      </c>
      <c r="V112" s="73"/>
      <c r="X112" s="30"/>
      <c r="Y112" s="54">
        <v>103</v>
      </c>
      <c r="Z112" s="70">
        <v>44932.150000000009</v>
      </c>
      <c r="AA112" s="75">
        <v>14008</v>
      </c>
      <c r="AB112" s="75">
        <v>7200.7199999999993</v>
      </c>
      <c r="AC112" s="75">
        <v>72807.28</v>
      </c>
      <c r="AD112" s="194">
        <v>324153.2</v>
      </c>
      <c r="AE112" s="194">
        <v>7000.4</v>
      </c>
      <c r="AF112" s="76">
        <v>0.09</v>
      </c>
      <c r="AG112" s="70">
        <v>4902.8000000000011</v>
      </c>
      <c r="AH112" s="31"/>
    </row>
    <row r="113" spans="3:34" x14ac:dyDescent="0.25">
      <c r="C113" s="72"/>
      <c r="D113" s="54">
        <v>104</v>
      </c>
      <c r="E113" s="70">
        <v>58351.91</v>
      </c>
      <c r="F113" s="75">
        <v>4759</v>
      </c>
      <c r="G113" s="75">
        <v>93345</v>
      </c>
      <c r="H113" s="194">
        <v>343364</v>
      </c>
      <c r="I113" s="194">
        <v>12791.44</v>
      </c>
      <c r="J113" s="75">
        <v>81753.173721494197</v>
      </c>
      <c r="K113" s="73"/>
      <c r="M113" s="72"/>
      <c r="N113" s="54">
        <v>104</v>
      </c>
      <c r="O113" s="70">
        <v>49459.21249999998</v>
      </c>
      <c r="P113" s="75">
        <v>9315</v>
      </c>
      <c r="Q113" s="75">
        <v>84701</v>
      </c>
      <c r="R113" s="194">
        <v>327914.91249999998</v>
      </c>
      <c r="S113" s="194">
        <v>6235.05</v>
      </c>
      <c r="T113" s="70">
        <v>1141.0875000000005</v>
      </c>
      <c r="U113" s="80">
        <v>81753.173721494197</v>
      </c>
      <c r="V113" s="73"/>
      <c r="X113" s="30"/>
      <c r="Y113" s="54">
        <v>104</v>
      </c>
      <c r="Z113" s="70">
        <v>87040.60000000002</v>
      </c>
      <c r="AA113" s="75">
        <v>14671</v>
      </c>
      <c r="AB113" s="75">
        <v>7328.64</v>
      </c>
      <c r="AC113" s="75">
        <v>84279.360000000001</v>
      </c>
      <c r="AD113" s="194">
        <v>366841.65</v>
      </c>
      <c r="AE113" s="194">
        <v>7580.4000000000005</v>
      </c>
      <c r="AF113" s="76">
        <v>0.08</v>
      </c>
      <c r="AG113" s="70">
        <v>5134.8500000000013</v>
      </c>
      <c r="AH113" s="31"/>
    </row>
    <row r="114" spans="3:34" x14ac:dyDescent="0.25">
      <c r="C114" s="72"/>
      <c r="D114" s="54">
        <v>105</v>
      </c>
      <c r="E114" s="70">
        <v>58351.91</v>
      </c>
      <c r="F114" s="75">
        <v>4950</v>
      </c>
      <c r="G114" s="75">
        <v>93154</v>
      </c>
      <c r="H114" s="194">
        <v>343364</v>
      </c>
      <c r="I114" s="194">
        <v>12791.44</v>
      </c>
      <c r="J114" s="75">
        <v>81753.173721494197</v>
      </c>
      <c r="K114" s="73"/>
      <c r="M114" s="72"/>
      <c r="N114" s="54">
        <v>105</v>
      </c>
      <c r="O114" s="70">
        <v>35314.360000000022</v>
      </c>
      <c r="P114" s="75">
        <v>9884</v>
      </c>
      <c r="Q114" s="75">
        <v>80044</v>
      </c>
      <c r="R114" s="194">
        <v>313537.21000000002</v>
      </c>
      <c r="S114" s="194">
        <v>6002.2000000000007</v>
      </c>
      <c r="T114" s="70">
        <v>1210.7900000000004</v>
      </c>
      <c r="U114" s="80">
        <v>81753.173721494197</v>
      </c>
      <c r="V114" s="73"/>
      <c r="X114" s="30"/>
      <c r="Y114" s="54">
        <v>105</v>
      </c>
      <c r="Z114" s="70">
        <v>46066.750000000022</v>
      </c>
      <c r="AA114" s="75">
        <v>10226</v>
      </c>
      <c r="AB114" s="75">
        <v>5027.3999999999996</v>
      </c>
      <c r="AC114" s="75">
        <v>78762.600000000006</v>
      </c>
      <c r="AD114" s="194">
        <v>325476.90000000002</v>
      </c>
      <c r="AE114" s="194">
        <v>7189.5</v>
      </c>
      <c r="AF114" s="76">
        <v>0.06</v>
      </c>
      <c r="AG114" s="70">
        <v>3579.1000000000008</v>
      </c>
      <c r="AH114" s="31"/>
    </row>
    <row r="115" spans="3:34" x14ac:dyDescent="0.25">
      <c r="C115" s="72"/>
      <c r="D115" s="54">
        <v>106</v>
      </c>
      <c r="E115" s="70">
        <v>30635.27</v>
      </c>
      <c r="F115" s="75">
        <v>7123</v>
      </c>
      <c r="G115" s="75">
        <v>82805</v>
      </c>
      <c r="H115" s="194">
        <v>314748</v>
      </c>
      <c r="I115" s="194">
        <v>11892.08</v>
      </c>
      <c r="J115" s="75">
        <v>81753.173721494197</v>
      </c>
      <c r="K115" s="73"/>
      <c r="M115" s="72"/>
      <c r="N115" s="54">
        <v>106</v>
      </c>
      <c r="O115" s="70">
        <v>49322.477500000001</v>
      </c>
      <c r="P115" s="75">
        <v>11201</v>
      </c>
      <c r="Q115" s="75">
        <v>82815</v>
      </c>
      <c r="R115" s="194">
        <v>327683.8775</v>
      </c>
      <c r="S115" s="194">
        <v>6140.75</v>
      </c>
      <c r="T115" s="70">
        <v>1372.1225000000006</v>
      </c>
      <c r="U115" s="80">
        <v>81753.173721494197</v>
      </c>
      <c r="V115" s="73"/>
      <c r="X115" s="30"/>
      <c r="Y115" s="54">
        <v>106</v>
      </c>
      <c r="Z115" s="70">
        <v>88276.60000000002</v>
      </c>
      <c r="AA115" s="75">
        <v>10551</v>
      </c>
      <c r="AB115" s="75">
        <v>5743.6799999999994</v>
      </c>
      <c r="AC115" s="75">
        <v>89984.320000000007</v>
      </c>
      <c r="AD115" s="194">
        <v>368283.65</v>
      </c>
      <c r="AE115" s="194">
        <v>7786.4000000000005</v>
      </c>
      <c r="AF115" s="76">
        <v>0.06</v>
      </c>
      <c r="AG115" s="70">
        <v>3692.8500000000008</v>
      </c>
      <c r="AH115" s="31"/>
    </row>
    <row r="116" spans="3:34" x14ac:dyDescent="0.25">
      <c r="C116" s="72"/>
      <c r="D116" s="54">
        <v>107</v>
      </c>
      <c r="E116" s="70">
        <v>58351.91</v>
      </c>
      <c r="F116" s="75">
        <v>4974</v>
      </c>
      <c r="G116" s="75">
        <v>93130</v>
      </c>
      <c r="H116" s="194">
        <v>343364</v>
      </c>
      <c r="I116" s="194">
        <v>12791.44</v>
      </c>
      <c r="J116" s="75">
        <v>81753.173721494197</v>
      </c>
      <c r="K116" s="73"/>
      <c r="M116" s="72"/>
      <c r="N116" s="54">
        <v>107</v>
      </c>
      <c r="O116" s="70">
        <v>49455.877500000024</v>
      </c>
      <c r="P116" s="75">
        <v>9361</v>
      </c>
      <c r="Q116" s="75">
        <v>84655</v>
      </c>
      <c r="R116" s="194">
        <v>327909.27750000003</v>
      </c>
      <c r="S116" s="194">
        <v>6232.75</v>
      </c>
      <c r="T116" s="70">
        <v>1146.7225000000005</v>
      </c>
      <c r="U116" s="80">
        <v>81753.173721494197</v>
      </c>
      <c r="V116" s="73"/>
      <c r="X116" s="30"/>
      <c r="Y116" s="54">
        <v>107</v>
      </c>
      <c r="Z116" s="70">
        <v>44906.05</v>
      </c>
      <c r="AA116" s="75">
        <v>14095</v>
      </c>
      <c r="AB116" s="75">
        <v>4795.26</v>
      </c>
      <c r="AC116" s="75">
        <v>75125.740000000005</v>
      </c>
      <c r="AD116" s="194">
        <v>324122.75</v>
      </c>
      <c r="AE116" s="194">
        <v>6996.05</v>
      </c>
      <c r="AF116" s="76">
        <v>0.06</v>
      </c>
      <c r="AG116" s="70">
        <v>4933.2500000000009</v>
      </c>
      <c r="AH116" s="31"/>
    </row>
    <row r="117" spans="3:34" x14ac:dyDescent="0.25">
      <c r="C117" s="72"/>
      <c r="D117" s="54">
        <v>108</v>
      </c>
      <c r="E117" s="70">
        <v>44493.59</v>
      </c>
      <c r="F117" s="75">
        <v>4647</v>
      </c>
      <c r="G117" s="75">
        <v>89369</v>
      </c>
      <c r="H117" s="194">
        <v>329056</v>
      </c>
      <c r="I117" s="194">
        <v>12341.76</v>
      </c>
      <c r="J117" s="75">
        <v>81753.173721494197</v>
      </c>
      <c r="K117" s="73"/>
      <c r="M117" s="72"/>
      <c r="N117" s="54">
        <v>108</v>
      </c>
      <c r="O117" s="70">
        <v>91516.872500000027</v>
      </c>
      <c r="P117" s="75">
        <v>12759</v>
      </c>
      <c r="Q117" s="75">
        <v>93520</v>
      </c>
      <c r="R117" s="194">
        <v>370413.52250000002</v>
      </c>
      <c r="S117" s="194">
        <v>6676</v>
      </c>
      <c r="T117" s="70">
        <v>1562.9775000000006</v>
      </c>
      <c r="U117" s="80">
        <v>81753.173721494197</v>
      </c>
      <c r="V117" s="73"/>
      <c r="X117" s="30"/>
      <c r="Y117" s="54">
        <v>108</v>
      </c>
      <c r="Z117" s="70">
        <v>46020.55</v>
      </c>
      <c r="AA117" s="75">
        <v>10380</v>
      </c>
      <c r="AB117" s="75">
        <v>5854.52</v>
      </c>
      <c r="AC117" s="75">
        <v>77781.48</v>
      </c>
      <c r="AD117" s="194">
        <v>325423</v>
      </c>
      <c r="AE117" s="194">
        <v>7181.8</v>
      </c>
      <c r="AF117" s="76">
        <v>7.0000000000000007E-2</v>
      </c>
      <c r="AG117" s="70">
        <v>3633.0000000000009</v>
      </c>
      <c r="AH117" s="31"/>
    </row>
    <row r="118" spans="3:34" x14ac:dyDescent="0.25">
      <c r="C118" s="72"/>
      <c r="D118" s="54">
        <v>109</v>
      </c>
      <c r="E118" s="70">
        <v>86065.16</v>
      </c>
      <c r="F118" s="75">
        <v>7549</v>
      </c>
      <c r="G118" s="75">
        <v>98730</v>
      </c>
      <c r="H118" s="194">
        <v>371976.5</v>
      </c>
      <c r="I118" s="194">
        <v>13690.69</v>
      </c>
      <c r="J118" s="75">
        <v>81753.173721494197</v>
      </c>
      <c r="K118" s="73"/>
      <c r="M118" s="72"/>
      <c r="N118" s="54">
        <v>109</v>
      </c>
      <c r="O118" s="70">
        <v>35055.752500000002</v>
      </c>
      <c r="P118" s="75">
        <v>13451</v>
      </c>
      <c r="Q118" s="75">
        <v>76477</v>
      </c>
      <c r="R118" s="194">
        <v>313100.2525</v>
      </c>
      <c r="S118" s="194">
        <v>5823.85</v>
      </c>
      <c r="T118" s="70">
        <v>1647.7475000000006</v>
      </c>
      <c r="U118" s="80">
        <v>81753.173721494197</v>
      </c>
      <c r="V118" s="73"/>
      <c r="X118" s="30"/>
      <c r="Y118" s="54">
        <v>109</v>
      </c>
      <c r="Z118" s="70">
        <v>46055.349999999977</v>
      </c>
      <c r="AA118" s="75">
        <v>10264</v>
      </c>
      <c r="AB118" s="75">
        <v>8375.2000000000007</v>
      </c>
      <c r="AC118" s="75">
        <v>75376.800000000003</v>
      </c>
      <c r="AD118" s="194">
        <v>325463.59999999998</v>
      </c>
      <c r="AE118" s="194">
        <v>7187.6</v>
      </c>
      <c r="AF118" s="76">
        <v>0.1</v>
      </c>
      <c r="AG118" s="70">
        <v>3592.400000000001</v>
      </c>
      <c r="AH118" s="31"/>
    </row>
    <row r="119" spans="3:34" x14ac:dyDescent="0.25">
      <c r="C119" s="72"/>
      <c r="D119" s="54">
        <v>110</v>
      </c>
      <c r="E119" s="70">
        <v>44493.59</v>
      </c>
      <c r="F119" s="75">
        <v>7487</v>
      </c>
      <c r="G119" s="75">
        <v>86529</v>
      </c>
      <c r="H119" s="194">
        <v>329056</v>
      </c>
      <c r="I119" s="194">
        <v>12341.76</v>
      </c>
      <c r="J119" s="75">
        <v>81753.173721494197</v>
      </c>
      <c r="K119" s="73"/>
      <c r="M119" s="72"/>
      <c r="N119" s="54">
        <v>110</v>
      </c>
      <c r="O119" s="70">
        <v>49400.415000000001</v>
      </c>
      <c r="P119" s="75">
        <v>10126</v>
      </c>
      <c r="Q119" s="75">
        <v>83890</v>
      </c>
      <c r="R119" s="194">
        <v>327815.565</v>
      </c>
      <c r="S119" s="194">
        <v>6194.5</v>
      </c>
      <c r="T119" s="70">
        <v>1240.4350000000006</v>
      </c>
      <c r="U119" s="80">
        <v>81753.173721494197</v>
      </c>
      <c r="V119" s="73"/>
      <c r="X119" s="30"/>
      <c r="Y119" s="54">
        <v>110</v>
      </c>
      <c r="Z119" s="70">
        <v>59987.35000000002</v>
      </c>
      <c r="AA119" s="75">
        <v>10836</v>
      </c>
      <c r="AB119" s="75">
        <v>4363.4000000000005</v>
      </c>
      <c r="AC119" s="75">
        <v>82904.600000000006</v>
      </c>
      <c r="AD119" s="194">
        <v>339571.4</v>
      </c>
      <c r="AE119" s="194">
        <v>7363.4000000000005</v>
      </c>
      <c r="AF119" s="76">
        <v>0.05</v>
      </c>
      <c r="AG119" s="70">
        <v>3792.6000000000008</v>
      </c>
      <c r="AH119" s="31"/>
    </row>
    <row r="120" spans="3:34" x14ac:dyDescent="0.25">
      <c r="C120" s="72"/>
      <c r="D120" s="54">
        <v>111</v>
      </c>
      <c r="E120" s="70">
        <v>30635.27</v>
      </c>
      <c r="F120" s="75">
        <v>4488</v>
      </c>
      <c r="G120" s="75">
        <v>85440</v>
      </c>
      <c r="H120" s="194">
        <v>314748</v>
      </c>
      <c r="I120" s="194">
        <v>11892.08</v>
      </c>
      <c r="J120" s="75">
        <v>81753.173721494197</v>
      </c>
      <c r="K120" s="73"/>
      <c r="M120" s="72"/>
      <c r="N120" s="54">
        <v>111</v>
      </c>
      <c r="O120" s="70">
        <v>49452.687500000015</v>
      </c>
      <c r="P120" s="75">
        <v>9405</v>
      </c>
      <c r="Q120" s="75">
        <v>84611</v>
      </c>
      <c r="R120" s="194">
        <v>327903.88750000001</v>
      </c>
      <c r="S120" s="194">
        <v>6230.55</v>
      </c>
      <c r="T120" s="70">
        <v>1152.1125000000004</v>
      </c>
      <c r="U120" s="80">
        <v>81753.173721494197</v>
      </c>
      <c r="V120" s="73"/>
      <c r="X120" s="30"/>
      <c r="Y120" s="54">
        <v>111</v>
      </c>
      <c r="Z120" s="70">
        <v>58799.65</v>
      </c>
      <c r="AA120" s="75">
        <v>14795</v>
      </c>
      <c r="AB120" s="75">
        <v>4165.45</v>
      </c>
      <c r="AC120" s="75">
        <v>79143.55</v>
      </c>
      <c r="AD120" s="194">
        <v>338185.75</v>
      </c>
      <c r="AE120" s="194">
        <v>7165.45</v>
      </c>
      <c r="AF120" s="76">
        <v>0.05</v>
      </c>
      <c r="AG120" s="70">
        <v>5178.2500000000009</v>
      </c>
      <c r="AH120" s="31"/>
    </row>
    <row r="121" spans="3:34" x14ac:dyDescent="0.25">
      <c r="C121" s="72"/>
      <c r="D121" s="54">
        <v>112</v>
      </c>
      <c r="E121" s="70">
        <v>30635.27</v>
      </c>
      <c r="F121" s="75">
        <v>6385</v>
      </c>
      <c r="G121" s="75">
        <v>83543</v>
      </c>
      <c r="H121" s="194">
        <v>314748</v>
      </c>
      <c r="I121" s="194">
        <v>11892.08</v>
      </c>
      <c r="J121" s="75">
        <v>81753.173721494197</v>
      </c>
      <c r="K121" s="73"/>
      <c r="M121" s="72"/>
      <c r="N121" s="54">
        <v>112</v>
      </c>
      <c r="O121" s="70">
        <v>49402.3</v>
      </c>
      <c r="P121" s="75">
        <v>10100</v>
      </c>
      <c r="Q121" s="75">
        <v>83916</v>
      </c>
      <c r="R121" s="194">
        <v>327818.75</v>
      </c>
      <c r="S121" s="194">
        <v>6195.8</v>
      </c>
      <c r="T121" s="70">
        <v>1237.2500000000005</v>
      </c>
      <c r="U121" s="80">
        <v>81753.173721494197</v>
      </c>
      <c r="V121" s="73"/>
      <c r="X121" s="30"/>
      <c r="Y121" s="54">
        <v>112</v>
      </c>
      <c r="Z121" s="70">
        <v>60036.250000000015</v>
      </c>
      <c r="AA121" s="75">
        <v>10673</v>
      </c>
      <c r="AB121" s="75">
        <v>4371.55</v>
      </c>
      <c r="AC121" s="75">
        <v>83059.45</v>
      </c>
      <c r="AD121" s="194">
        <v>339628.45</v>
      </c>
      <c r="AE121" s="194">
        <v>7371.55</v>
      </c>
      <c r="AF121" s="76">
        <v>0.05</v>
      </c>
      <c r="AG121" s="70">
        <v>3735.5500000000011</v>
      </c>
      <c r="AH121" s="31"/>
    </row>
    <row r="122" spans="3:34" x14ac:dyDescent="0.25">
      <c r="C122" s="72"/>
      <c r="D122" s="54">
        <v>113</v>
      </c>
      <c r="E122" s="70">
        <v>58351.91</v>
      </c>
      <c r="F122" s="75">
        <v>5787</v>
      </c>
      <c r="G122" s="75">
        <v>92317</v>
      </c>
      <c r="H122" s="194">
        <v>343364</v>
      </c>
      <c r="I122" s="194">
        <v>12791.44</v>
      </c>
      <c r="J122" s="75">
        <v>81753.173721494197</v>
      </c>
      <c r="K122" s="73"/>
      <c r="M122" s="72"/>
      <c r="N122" s="54">
        <v>113</v>
      </c>
      <c r="O122" s="70">
        <v>49257.227500000001</v>
      </c>
      <c r="P122" s="75">
        <v>12101</v>
      </c>
      <c r="Q122" s="75">
        <v>81915</v>
      </c>
      <c r="R122" s="194">
        <v>327573.6275</v>
      </c>
      <c r="S122" s="194">
        <v>6095.75</v>
      </c>
      <c r="T122" s="70">
        <v>1482.3725000000006</v>
      </c>
      <c r="U122" s="80">
        <v>81753.173721494197</v>
      </c>
      <c r="V122" s="73"/>
      <c r="X122" s="30"/>
      <c r="Y122" s="54">
        <v>113</v>
      </c>
      <c r="Z122" s="70">
        <v>45757.44999999999</v>
      </c>
      <c r="AA122" s="75">
        <v>11257</v>
      </c>
      <c r="AB122" s="75">
        <v>4965.54</v>
      </c>
      <c r="AC122" s="75">
        <v>77793.460000000006</v>
      </c>
      <c r="AD122" s="194">
        <v>325116.05</v>
      </c>
      <c r="AE122" s="194">
        <v>7137.95</v>
      </c>
      <c r="AF122" s="76">
        <v>0.06</v>
      </c>
      <c r="AG122" s="70">
        <v>3939.9500000000012</v>
      </c>
      <c r="AH122" s="31"/>
    </row>
    <row r="123" spans="3:34" x14ac:dyDescent="0.25">
      <c r="C123" s="72"/>
      <c r="D123" s="54">
        <v>114</v>
      </c>
      <c r="E123" s="70">
        <v>44493.59</v>
      </c>
      <c r="F123" s="75">
        <v>4586</v>
      </c>
      <c r="G123" s="75">
        <v>89430</v>
      </c>
      <c r="H123" s="194">
        <v>329056</v>
      </c>
      <c r="I123" s="194">
        <v>12341.76</v>
      </c>
      <c r="J123" s="75">
        <v>81753.173721494197</v>
      </c>
      <c r="K123" s="73"/>
      <c r="M123" s="72"/>
      <c r="N123" s="54">
        <v>114</v>
      </c>
      <c r="O123" s="70">
        <v>63316.965000000011</v>
      </c>
      <c r="P123" s="75">
        <v>12706</v>
      </c>
      <c r="Q123" s="75">
        <v>85398</v>
      </c>
      <c r="R123" s="194">
        <v>341807.51500000001</v>
      </c>
      <c r="S123" s="194">
        <v>6269.9000000000005</v>
      </c>
      <c r="T123" s="70">
        <v>1556.4850000000006</v>
      </c>
      <c r="U123" s="80">
        <v>81753.173721494197</v>
      </c>
      <c r="V123" s="73"/>
      <c r="X123" s="30"/>
      <c r="Y123" s="54">
        <v>114</v>
      </c>
      <c r="Z123" s="70">
        <v>45208.750000000022</v>
      </c>
      <c r="AA123" s="75">
        <v>13086</v>
      </c>
      <c r="AB123" s="75">
        <v>6474.4000000000005</v>
      </c>
      <c r="AC123" s="75">
        <v>74455.600000000006</v>
      </c>
      <c r="AD123" s="194">
        <v>324475.90000000002</v>
      </c>
      <c r="AE123" s="194">
        <v>7046.5</v>
      </c>
      <c r="AF123" s="76">
        <v>0.08</v>
      </c>
      <c r="AG123" s="70">
        <v>4580.1000000000013</v>
      </c>
      <c r="AH123" s="31"/>
    </row>
    <row r="124" spans="3:34" x14ac:dyDescent="0.25">
      <c r="C124" s="72"/>
      <c r="D124" s="54">
        <v>115</v>
      </c>
      <c r="E124" s="70">
        <v>44493.59</v>
      </c>
      <c r="F124" s="75">
        <v>6619</v>
      </c>
      <c r="G124" s="75">
        <v>87397</v>
      </c>
      <c r="H124" s="194">
        <v>329056</v>
      </c>
      <c r="I124" s="194">
        <v>12341.76</v>
      </c>
      <c r="J124" s="75">
        <v>81753.173721494197</v>
      </c>
      <c r="K124" s="73"/>
      <c r="M124" s="72"/>
      <c r="N124" s="54">
        <v>115</v>
      </c>
      <c r="O124" s="70">
        <v>49394.252499999966</v>
      </c>
      <c r="P124" s="75">
        <v>10211</v>
      </c>
      <c r="Q124" s="75">
        <v>83805</v>
      </c>
      <c r="R124" s="194">
        <v>327805.15249999997</v>
      </c>
      <c r="S124" s="194">
        <v>6190.25</v>
      </c>
      <c r="T124" s="70">
        <v>1250.8475000000005</v>
      </c>
      <c r="U124" s="80">
        <v>81753.173721494197</v>
      </c>
      <c r="V124" s="73"/>
      <c r="X124" s="30"/>
      <c r="Y124" s="54">
        <v>115</v>
      </c>
      <c r="Z124" s="70">
        <v>32144.95</v>
      </c>
      <c r="AA124" s="75">
        <v>9620</v>
      </c>
      <c r="AB124" s="75">
        <v>6424.64</v>
      </c>
      <c r="AC124" s="75">
        <v>73883.360000000001</v>
      </c>
      <c r="AD124" s="194">
        <v>311381</v>
      </c>
      <c r="AE124" s="194">
        <v>7015.4</v>
      </c>
      <c r="AF124" s="76">
        <v>0.08</v>
      </c>
      <c r="AG124" s="70">
        <v>3367.0000000000009</v>
      </c>
      <c r="AH124" s="31"/>
    </row>
    <row r="125" spans="3:34" x14ac:dyDescent="0.25">
      <c r="C125" s="72"/>
      <c r="D125" s="54">
        <v>116</v>
      </c>
      <c r="E125" s="70">
        <v>44493.59</v>
      </c>
      <c r="F125" s="75">
        <v>6541</v>
      </c>
      <c r="G125" s="75">
        <v>87475</v>
      </c>
      <c r="H125" s="194">
        <v>329056</v>
      </c>
      <c r="I125" s="194">
        <v>12341.76</v>
      </c>
      <c r="J125" s="75">
        <v>81753.173721494197</v>
      </c>
      <c r="K125" s="73"/>
      <c r="M125" s="72"/>
      <c r="N125" s="54">
        <v>116</v>
      </c>
      <c r="O125" s="70">
        <v>63172.689999999988</v>
      </c>
      <c r="P125" s="75">
        <v>14696</v>
      </c>
      <c r="Q125" s="75">
        <v>83408</v>
      </c>
      <c r="R125" s="194">
        <v>341563.74</v>
      </c>
      <c r="S125" s="194">
        <v>6170.4000000000005</v>
      </c>
      <c r="T125" s="70">
        <v>1800.2600000000007</v>
      </c>
      <c r="U125" s="80">
        <v>81753.173721494197</v>
      </c>
      <c r="V125" s="73"/>
      <c r="X125" s="30"/>
      <c r="Y125" s="54">
        <v>116</v>
      </c>
      <c r="Z125" s="70">
        <v>32348.05000000001</v>
      </c>
      <c r="AA125" s="75">
        <v>8943</v>
      </c>
      <c r="AB125" s="75">
        <v>4859.0999999999995</v>
      </c>
      <c r="AC125" s="75">
        <v>76125.899999999994</v>
      </c>
      <c r="AD125" s="194">
        <v>311617.95</v>
      </c>
      <c r="AE125" s="194">
        <v>7049.25</v>
      </c>
      <c r="AF125" s="76">
        <v>0.06</v>
      </c>
      <c r="AG125" s="70">
        <v>3130.0500000000006</v>
      </c>
      <c r="AH125" s="31"/>
    </row>
    <row r="126" spans="3:34" x14ac:dyDescent="0.25">
      <c r="C126" s="72"/>
      <c r="D126" s="54">
        <v>117</v>
      </c>
      <c r="E126" s="70">
        <v>44493.59</v>
      </c>
      <c r="F126" s="75">
        <v>4619</v>
      </c>
      <c r="G126" s="75">
        <v>89397</v>
      </c>
      <c r="H126" s="194">
        <v>329056</v>
      </c>
      <c r="I126" s="194">
        <v>12341.76</v>
      </c>
      <c r="J126" s="75">
        <v>81753.173721494197</v>
      </c>
      <c r="K126" s="73"/>
      <c r="M126" s="72"/>
      <c r="N126" s="54">
        <v>117</v>
      </c>
      <c r="O126" s="70">
        <v>91304.012499999983</v>
      </c>
      <c r="P126" s="75">
        <v>15695</v>
      </c>
      <c r="Q126" s="75">
        <v>90584</v>
      </c>
      <c r="R126" s="194">
        <v>370053.86249999999</v>
      </c>
      <c r="S126" s="194">
        <v>6529.2</v>
      </c>
      <c r="T126" s="70">
        <v>1922.6375000000007</v>
      </c>
      <c r="U126" s="80">
        <v>81753.173721494197</v>
      </c>
      <c r="V126" s="73"/>
      <c r="X126" s="30"/>
      <c r="Y126" s="54">
        <v>117</v>
      </c>
      <c r="Z126" s="70">
        <v>60230.65</v>
      </c>
      <c r="AA126" s="75">
        <v>10025</v>
      </c>
      <c r="AB126" s="75">
        <v>6165.5300000000007</v>
      </c>
      <c r="AC126" s="75">
        <v>81913.47</v>
      </c>
      <c r="AD126" s="194">
        <v>339855.25</v>
      </c>
      <c r="AE126" s="194">
        <v>7403.95</v>
      </c>
      <c r="AF126" s="76">
        <v>7.0000000000000007E-2</v>
      </c>
      <c r="AG126" s="70">
        <v>3508.7500000000009</v>
      </c>
      <c r="AH126" s="31"/>
    </row>
    <row r="127" spans="3:34" x14ac:dyDescent="0.25">
      <c r="C127" s="72"/>
      <c r="D127" s="54">
        <v>118</v>
      </c>
      <c r="E127" s="70">
        <v>44493.59</v>
      </c>
      <c r="F127" s="75">
        <v>5644</v>
      </c>
      <c r="G127" s="75">
        <v>88372</v>
      </c>
      <c r="H127" s="194">
        <v>329056</v>
      </c>
      <c r="I127" s="194">
        <v>12341.76</v>
      </c>
      <c r="J127" s="75">
        <v>81753.173721494197</v>
      </c>
      <c r="K127" s="73"/>
      <c r="M127" s="72"/>
      <c r="N127" s="54">
        <v>118</v>
      </c>
      <c r="O127" s="70">
        <v>49242.220000000016</v>
      </c>
      <c r="P127" s="75">
        <v>12308</v>
      </c>
      <c r="Q127" s="75">
        <v>81708</v>
      </c>
      <c r="R127" s="194">
        <v>327548.27</v>
      </c>
      <c r="S127" s="194">
        <v>6085.4</v>
      </c>
      <c r="T127" s="70">
        <v>1507.7300000000007</v>
      </c>
      <c r="U127" s="80">
        <v>81753.173721494197</v>
      </c>
      <c r="V127" s="73"/>
      <c r="X127" s="30"/>
      <c r="Y127" s="54">
        <v>118</v>
      </c>
      <c r="Z127" s="70">
        <v>59085.250000000015</v>
      </c>
      <c r="AA127" s="75">
        <v>13843</v>
      </c>
      <c r="AB127" s="75">
        <v>4213.05</v>
      </c>
      <c r="AC127" s="75">
        <v>80047.95</v>
      </c>
      <c r="AD127" s="194">
        <v>338518.95</v>
      </c>
      <c r="AE127" s="194">
        <v>7213.05</v>
      </c>
      <c r="AF127" s="76">
        <v>0.05</v>
      </c>
      <c r="AG127" s="70">
        <v>4845.0500000000011</v>
      </c>
      <c r="AH127" s="31"/>
    </row>
    <row r="128" spans="3:34" x14ac:dyDescent="0.25">
      <c r="C128" s="72"/>
      <c r="D128" s="54">
        <v>119</v>
      </c>
      <c r="E128" s="70">
        <v>30635.27</v>
      </c>
      <c r="F128" s="75">
        <v>6364</v>
      </c>
      <c r="G128" s="75">
        <v>83564</v>
      </c>
      <c r="H128" s="194">
        <v>314748</v>
      </c>
      <c r="I128" s="194">
        <v>11892.08</v>
      </c>
      <c r="J128" s="75">
        <v>81753.173721494197</v>
      </c>
      <c r="K128" s="73"/>
      <c r="M128" s="72"/>
      <c r="N128" s="54">
        <v>119</v>
      </c>
      <c r="O128" s="70">
        <v>49387.510000000009</v>
      </c>
      <c r="P128" s="75">
        <v>10304</v>
      </c>
      <c r="Q128" s="75">
        <v>83712</v>
      </c>
      <c r="R128" s="194">
        <v>327793.76</v>
      </c>
      <c r="S128" s="194">
        <v>6185.6</v>
      </c>
      <c r="T128" s="70">
        <v>1262.2400000000005</v>
      </c>
      <c r="U128" s="80">
        <v>81753.173721494197</v>
      </c>
      <c r="V128" s="73"/>
      <c r="X128" s="30"/>
      <c r="Y128" s="54">
        <v>119</v>
      </c>
      <c r="Z128" s="70">
        <v>32009.05000000001</v>
      </c>
      <c r="AA128" s="75">
        <v>10073</v>
      </c>
      <c r="AB128" s="75">
        <v>6388.4000000000005</v>
      </c>
      <c r="AC128" s="75">
        <v>73466.600000000006</v>
      </c>
      <c r="AD128" s="194">
        <v>311222.45</v>
      </c>
      <c r="AE128" s="194">
        <v>6992.75</v>
      </c>
      <c r="AF128" s="76">
        <v>0.08</v>
      </c>
      <c r="AG128" s="70">
        <v>3525.5500000000011</v>
      </c>
      <c r="AH128" s="31"/>
    </row>
    <row r="129" spans="3:34" x14ac:dyDescent="0.25">
      <c r="C129" s="72"/>
      <c r="D129" s="54">
        <v>120</v>
      </c>
      <c r="E129" s="70">
        <v>86065.16</v>
      </c>
      <c r="F129" s="75">
        <v>5414</v>
      </c>
      <c r="G129" s="75">
        <v>100865</v>
      </c>
      <c r="H129" s="194">
        <v>371976.5</v>
      </c>
      <c r="I129" s="194">
        <v>13690.69</v>
      </c>
      <c r="J129" s="75">
        <v>81753.173721494197</v>
      </c>
      <c r="K129" s="73"/>
      <c r="M129" s="72"/>
      <c r="N129" s="54">
        <v>120</v>
      </c>
      <c r="O129" s="70">
        <v>63437.459999999985</v>
      </c>
      <c r="P129" s="75">
        <v>11044</v>
      </c>
      <c r="Q129" s="75">
        <v>87060</v>
      </c>
      <c r="R129" s="194">
        <v>342011.11</v>
      </c>
      <c r="S129" s="194">
        <v>6353</v>
      </c>
      <c r="T129" s="70">
        <v>1352.8900000000006</v>
      </c>
      <c r="U129" s="80">
        <v>81753.173721494197</v>
      </c>
      <c r="V129" s="73"/>
      <c r="X129" s="30"/>
      <c r="Y129" s="54">
        <v>120</v>
      </c>
      <c r="Z129" s="70">
        <v>45464.94999999999</v>
      </c>
      <c r="AA129" s="75">
        <v>12232</v>
      </c>
      <c r="AB129" s="75">
        <v>5724.88</v>
      </c>
      <c r="AC129" s="75">
        <v>76059.12</v>
      </c>
      <c r="AD129" s="194">
        <v>324774.8</v>
      </c>
      <c r="AE129" s="194">
        <v>7089.2000000000007</v>
      </c>
      <c r="AF129" s="76">
        <v>7.0000000000000007E-2</v>
      </c>
      <c r="AG129" s="70">
        <v>4281.2000000000007</v>
      </c>
      <c r="AH129" s="31"/>
    </row>
    <row r="130" spans="3:34" x14ac:dyDescent="0.25">
      <c r="C130" s="72"/>
      <c r="D130" s="54">
        <v>121</v>
      </c>
      <c r="E130" s="70">
        <v>44493.59</v>
      </c>
      <c r="F130" s="75">
        <v>6540</v>
      </c>
      <c r="G130" s="75">
        <v>87476</v>
      </c>
      <c r="H130" s="194">
        <v>329056</v>
      </c>
      <c r="I130" s="194">
        <v>12341.76</v>
      </c>
      <c r="J130" s="75">
        <v>81753.173721494197</v>
      </c>
      <c r="K130" s="73"/>
      <c r="M130" s="72"/>
      <c r="N130" s="54">
        <v>121</v>
      </c>
      <c r="O130" s="70">
        <v>49452.107499999969</v>
      </c>
      <c r="P130" s="75">
        <v>9413</v>
      </c>
      <c r="Q130" s="75">
        <v>84603</v>
      </c>
      <c r="R130" s="194">
        <v>327902.90749999997</v>
      </c>
      <c r="S130" s="194">
        <v>6230.1500000000005</v>
      </c>
      <c r="T130" s="70">
        <v>1153.0925000000004</v>
      </c>
      <c r="U130" s="80">
        <v>81753.173721494197</v>
      </c>
      <c r="V130" s="73"/>
      <c r="X130" s="30"/>
      <c r="Y130" s="54">
        <v>121</v>
      </c>
      <c r="Z130" s="70">
        <v>86986.299999999988</v>
      </c>
      <c r="AA130" s="75">
        <v>14852</v>
      </c>
      <c r="AB130" s="75">
        <v>8228.43</v>
      </c>
      <c r="AC130" s="75">
        <v>83198.570000000007</v>
      </c>
      <c r="AD130" s="194">
        <v>366778.3</v>
      </c>
      <c r="AE130" s="194">
        <v>7571.35</v>
      </c>
      <c r="AF130" s="76">
        <v>0.09</v>
      </c>
      <c r="AG130" s="70">
        <v>5198.2000000000016</v>
      </c>
      <c r="AH130" s="31"/>
    </row>
    <row r="131" spans="3:34" x14ac:dyDescent="0.25">
      <c r="C131" s="72"/>
      <c r="D131" s="54">
        <v>122</v>
      </c>
      <c r="E131" s="70">
        <v>44493.59</v>
      </c>
      <c r="F131" s="75">
        <v>5595</v>
      </c>
      <c r="G131" s="75">
        <v>88421</v>
      </c>
      <c r="H131" s="194">
        <v>329056</v>
      </c>
      <c r="I131" s="194">
        <v>12341.76</v>
      </c>
      <c r="J131" s="75">
        <v>81753.173721494197</v>
      </c>
      <c r="K131" s="73"/>
      <c r="M131" s="72"/>
      <c r="N131" s="54">
        <v>122</v>
      </c>
      <c r="O131" s="70">
        <v>63451.30750000001</v>
      </c>
      <c r="P131" s="75">
        <v>10853</v>
      </c>
      <c r="Q131" s="75">
        <v>87251</v>
      </c>
      <c r="R131" s="194">
        <v>342034.50750000001</v>
      </c>
      <c r="S131" s="194">
        <v>6362.55</v>
      </c>
      <c r="T131" s="70">
        <v>1329.4925000000005</v>
      </c>
      <c r="U131" s="80">
        <v>81753.173721494197</v>
      </c>
      <c r="V131" s="73"/>
      <c r="X131" s="30"/>
      <c r="Y131" s="54">
        <v>122</v>
      </c>
      <c r="Z131" s="70">
        <v>58802.949999999975</v>
      </c>
      <c r="AA131" s="75">
        <v>14784</v>
      </c>
      <c r="AB131" s="75">
        <v>5832.4000000000005</v>
      </c>
      <c r="AC131" s="75">
        <v>77487.600000000006</v>
      </c>
      <c r="AD131" s="194">
        <v>338189.6</v>
      </c>
      <c r="AE131" s="194">
        <v>7166</v>
      </c>
      <c r="AF131" s="76">
        <v>7.0000000000000007E-2</v>
      </c>
      <c r="AG131" s="70">
        <v>5174.4000000000015</v>
      </c>
      <c r="AH131" s="31"/>
    </row>
    <row r="132" spans="3:34" x14ac:dyDescent="0.25">
      <c r="C132" s="72"/>
      <c r="D132" s="54">
        <v>123</v>
      </c>
      <c r="E132" s="70">
        <v>44493.59</v>
      </c>
      <c r="F132" s="75">
        <v>7567</v>
      </c>
      <c r="G132" s="75">
        <v>86449</v>
      </c>
      <c r="H132" s="194">
        <v>329056</v>
      </c>
      <c r="I132" s="194">
        <v>12341.76</v>
      </c>
      <c r="J132" s="75">
        <v>81753.173721494197</v>
      </c>
      <c r="K132" s="73"/>
      <c r="M132" s="72"/>
      <c r="N132" s="54">
        <v>123</v>
      </c>
      <c r="O132" s="70">
        <v>49460.517499999994</v>
      </c>
      <c r="P132" s="75">
        <v>9297</v>
      </c>
      <c r="Q132" s="75">
        <v>84719</v>
      </c>
      <c r="R132" s="194">
        <v>327917.11749999999</v>
      </c>
      <c r="S132" s="194">
        <v>6235.95</v>
      </c>
      <c r="T132" s="70">
        <v>1138.8825000000004</v>
      </c>
      <c r="U132" s="80">
        <v>81753.173721494197</v>
      </c>
      <c r="V132" s="73"/>
      <c r="X132" s="30"/>
      <c r="Y132" s="54">
        <v>123</v>
      </c>
      <c r="Z132" s="70">
        <v>44848.750000000022</v>
      </c>
      <c r="AA132" s="75">
        <v>14286</v>
      </c>
      <c r="AB132" s="75">
        <v>7973</v>
      </c>
      <c r="AC132" s="75">
        <v>71757</v>
      </c>
      <c r="AD132" s="194">
        <v>324055.90000000002</v>
      </c>
      <c r="AE132" s="194">
        <v>6986.5</v>
      </c>
      <c r="AF132" s="76">
        <v>0.1</v>
      </c>
      <c r="AG132" s="70">
        <v>5000.1000000000013</v>
      </c>
      <c r="AH132" s="31"/>
    </row>
    <row r="133" spans="3:34" x14ac:dyDescent="0.25">
      <c r="C133" s="72"/>
      <c r="D133" s="54">
        <v>124</v>
      </c>
      <c r="E133" s="70">
        <v>44493.59</v>
      </c>
      <c r="F133" s="75">
        <v>4797</v>
      </c>
      <c r="G133" s="75">
        <v>89219</v>
      </c>
      <c r="H133" s="194">
        <v>329056</v>
      </c>
      <c r="I133" s="194">
        <v>12341.76</v>
      </c>
      <c r="J133" s="75">
        <v>81753.173721494197</v>
      </c>
      <c r="K133" s="73"/>
      <c r="M133" s="72"/>
      <c r="N133" s="54">
        <v>124</v>
      </c>
      <c r="O133" s="70">
        <v>63316.384999999973</v>
      </c>
      <c r="P133" s="75">
        <v>12714</v>
      </c>
      <c r="Q133" s="75">
        <v>85390</v>
      </c>
      <c r="R133" s="194">
        <v>341806.53499999997</v>
      </c>
      <c r="S133" s="194">
        <v>6269.5</v>
      </c>
      <c r="T133" s="70">
        <v>1557.4650000000006</v>
      </c>
      <c r="U133" s="80">
        <v>81753.173721494197</v>
      </c>
      <c r="V133" s="73"/>
      <c r="X133" s="30"/>
      <c r="Y133" s="54">
        <v>124</v>
      </c>
      <c r="Z133" s="70">
        <v>59437.750000000015</v>
      </c>
      <c r="AA133" s="75">
        <v>12668</v>
      </c>
      <c r="AB133" s="75">
        <v>6834.88</v>
      </c>
      <c r="AC133" s="75">
        <v>78601.119999999995</v>
      </c>
      <c r="AD133" s="194">
        <v>338930.2</v>
      </c>
      <c r="AE133" s="194">
        <v>7271.8</v>
      </c>
      <c r="AF133" s="76">
        <v>0.08</v>
      </c>
      <c r="AG133" s="70">
        <v>4433.8000000000011</v>
      </c>
      <c r="AH133" s="31"/>
    </row>
    <row r="134" spans="3:34" x14ac:dyDescent="0.25">
      <c r="C134" s="72"/>
      <c r="D134" s="54">
        <v>125</v>
      </c>
      <c r="E134" s="70">
        <v>30635.27</v>
      </c>
      <c r="F134" s="75">
        <v>8076</v>
      </c>
      <c r="G134" s="75">
        <v>81852</v>
      </c>
      <c r="H134" s="194">
        <v>314748</v>
      </c>
      <c r="I134" s="194">
        <v>11892.08</v>
      </c>
      <c r="J134" s="75">
        <v>81753.173721494197</v>
      </c>
      <c r="K134" s="73"/>
      <c r="M134" s="72"/>
      <c r="N134" s="54">
        <v>125</v>
      </c>
      <c r="O134" s="70">
        <v>63389.537500000013</v>
      </c>
      <c r="P134" s="75">
        <v>11705</v>
      </c>
      <c r="Q134" s="75">
        <v>86399</v>
      </c>
      <c r="R134" s="194">
        <v>341930.13750000001</v>
      </c>
      <c r="S134" s="194">
        <v>6319.95</v>
      </c>
      <c r="T134" s="70">
        <v>1433.8625000000006</v>
      </c>
      <c r="U134" s="80">
        <v>81753.173721494197</v>
      </c>
      <c r="V134" s="73"/>
      <c r="X134" s="30"/>
      <c r="Y134" s="54">
        <v>125</v>
      </c>
      <c r="Z134" s="70">
        <v>59128.750000000015</v>
      </c>
      <c r="AA134" s="75">
        <v>13698</v>
      </c>
      <c r="AB134" s="75">
        <v>5908.420000000001</v>
      </c>
      <c r="AC134" s="75">
        <v>78497.58</v>
      </c>
      <c r="AD134" s="194">
        <v>338569.7</v>
      </c>
      <c r="AE134" s="194">
        <v>7220.3</v>
      </c>
      <c r="AF134" s="76">
        <v>7.0000000000000007E-2</v>
      </c>
      <c r="AG134" s="70">
        <v>4794.3000000000011</v>
      </c>
      <c r="AH134" s="31"/>
    </row>
    <row r="135" spans="3:34" x14ac:dyDescent="0.25">
      <c r="C135" s="72"/>
      <c r="D135" s="54">
        <v>126</v>
      </c>
      <c r="E135" s="70">
        <v>30635.27</v>
      </c>
      <c r="F135" s="75">
        <v>7098</v>
      </c>
      <c r="G135" s="75">
        <v>82830</v>
      </c>
      <c r="H135" s="194">
        <v>314748</v>
      </c>
      <c r="I135" s="194">
        <v>11892.08</v>
      </c>
      <c r="J135" s="75">
        <v>81753.173721494197</v>
      </c>
      <c r="K135" s="73"/>
      <c r="M135" s="72"/>
      <c r="N135" s="54">
        <v>126</v>
      </c>
      <c r="O135" s="70">
        <v>91314.452499999999</v>
      </c>
      <c r="P135" s="75">
        <v>15551</v>
      </c>
      <c r="Q135" s="75">
        <v>90728</v>
      </c>
      <c r="R135" s="194">
        <v>370071.5025</v>
      </c>
      <c r="S135" s="194">
        <v>6536.4000000000005</v>
      </c>
      <c r="T135" s="70">
        <v>1904.9975000000009</v>
      </c>
      <c r="U135" s="80">
        <v>81753.173721494197</v>
      </c>
      <c r="V135" s="73"/>
      <c r="X135" s="30"/>
      <c r="Y135" s="54">
        <v>126</v>
      </c>
      <c r="Z135" s="70">
        <v>59136.549999999988</v>
      </c>
      <c r="AA135" s="75">
        <v>13672</v>
      </c>
      <c r="AB135" s="75">
        <v>5065.92</v>
      </c>
      <c r="AC135" s="75">
        <v>79366.080000000002</v>
      </c>
      <c r="AD135" s="194">
        <v>338578.8</v>
      </c>
      <c r="AE135" s="194">
        <v>7221.6</v>
      </c>
      <c r="AF135" s="76">
        <v>0.06</v>
      </c>
      <c r="AG135" s="70">
        <v>4785.2000000000016</v>
      </c>
      <c r="AH135" s="31"/>
    </row>
    <row r="136" spans="3:34" x14ac:dyDescent="0.25">
      <c r="C136" s="72"/>
      <c r="D136" s="54">
        <v>127</v>
      </c>
      <c r="E136" s="70">
        <v>44493.59</v>
      </c>
      <c r="F136" s="75">
        <v>8351</v>
      </c>
      <c r="G136" s="75">
        <v>85665</v>
      </c>
      <c r="H136" s="194">
        <v>329056</v>
      </c>
      <c r="I136" s="194">
        <v>12341.76</v>
      </c>
      <c r="J136" s="75">
        <v>81753.173721494197</v>
      </c>
      <c r="K136" s="73"/>
      <c r="M136" s="72"/>
      <c r="N136" s="54">
        <v>127</v>
      </c>
      <c r="O136" s="70">
        <v>91298.864999999976</v>
      </c>
      <c r="P136" s="75">
        <v>15766</v>
      </c>
      <c r="Q136" s="75">
        <v>90513</v>
      </c>
      <c r="R136" s="194">
        <v>370045.16499999998</v>
      </c>
      <c r="S136" s="194">
        <v>6525.6500000000005</v>
      </c>
      <c r="T136" s="70">
        <v>1931.3350000000009</v>
      </c>
      <c r="U136" s="80">
        <v>81753.173721494197</v>
      </c>
      <c r="V136" s="73"/>
      <c r="X136" s="30"/>
      <c r="Y136" s="54">
        <v>127</v>
      </c>
      <c r="Z136" s="70">
        <v>45725.05</v>
      </c>
      <c r="AA136" s="75">
        <v>11365</v>
      </c>
      <c r="AB136" s="75">
        <v>6612.08</v>
      </c>
      <c r="AC136" s="75">
        <v>76038.92</v>
      </c>
      <c r="AD136" s="194">
        <v>325078.25</v>
      </c>
      <c r="AE136" s="194">
        <v>7132.55</v>
      </c>
      <c r="AF136" s="76">
        <v>0.08</v>
      </c>
      <c r="AG136" s="70">
        <v>3977.7500000000009</v>
      </c>
      <c r="AH136" s="31"/>
    </row>
    <row r="137" spans="3:34" x14ac:dyDescent="0.25">
      <c r="C137" s="72"/>
      <c r="D137" s="54">
        <v>128</v>
      </c>
      <c r="E137" s="70">
        <v>44493.59</v>
      </c>
      <c r="F137" s="75">
        <v>6488</v>
      </c>
      <c r="G137" s="75">
        <v>87528</v>
      </c>
      <c r="H137" s="194">
        <v>329056</v>
      </c>
      <c r="I137" s="194">
        <v>12341.76</v>
      </c>
      <c r="J137" s="75">
        <v>81753.173721494197</v>
      </c>
      <c r="K137" s="73"/>
      <c r="M137" s="72"/>
      <c r="N137" s="54">
        <v>128</v>
      </c>
      <c r="O137" s="70">
        <v>49181.392499999994</v>
      </c>
      <c r="P137" s="75">
        <v>13147</v>
      </c>
      <c r="Q137" s="75">
        <v>80869</v>
      </c>
      <c r="R137" s="194">
        <v>327445.49249999999</v>
      </c>
      <c r="S137" s="194">
        <v>6043.4500000000007</v>
      </c>
      <c r="T137" s="70">
        <v>1610.5075000000006</v>
      </c>
      <c r="U137" s="80">
        <v>81753.173721494197</v>
      </c>
      <c r="V137" s="73"/>
      <c r="X137" s="30"/>
      <c r="Y137" s="54">
        <v>128</v>
      </c>
      <c r="Z137" s="70">
        <v>88230.399999999994</v>
      </c>
      <c r="AA137" s="75">
        <v>10705</v>
      </c>
      <c r="AB137" s="75">
        <v>7645.92</v>
      </c>
      <c r="AC137" s="75">
        <v>87928.08</v>
      </c>
      <c r="AD137" s="194">
        <v>368229.75</v>
      </c>
      <c r="AE137" s="194">
        <v>7778.7</v>
      </c>
      <c r="AF137" s="76">
        <v>0.08</v>
      </c>
      <c r="AG137" s="70">
        <v>3746.7500000000009</v>
      </c>
      <c r="AH137" s="31"/>
    </row>
    <row r="138" spans="3:34" x14ac:dyDescent="0.25">
      <c r="C138" s="72"/>
      <c r="D138" s="54">
        <v>129</v>
      </c>
      <c r="E138" s="70">
        <v>30635.27</v>
      </c>
      <c r="F138" s="75">
        <v>7102</v>
      </c>
      <c r="G138" s="75">
        <v>82826</v>
      </c>
      <c r="H138" s="194">
        <v>314748</v>
      </c>
      <c r="I138" s="194">
        <v>11892.08</v>
      </c>
      <c r="J138" s="75">
        <v>81753.173721494197</v>
      </c>
      <c r="K138" s="73"/>
      <c r="M138" s="72"/>
      <c r="N138" s="54">
        <v>129</v>
      </c>
      <c r="O138" s="70">
        <v>49393.020000000004</v>
      </c>
      <c r="P138" s="75">
        <v>10228</v>
      </c>
      <c r="Q138" s="75">
        <v>83788</v>
      </c>
      <c r="R138" s="194">
        <v>327803.07</v>
      </c>
      <c r="S138" s="194">
        <v>6189.4000000000005</v>
      </c>
      <c r="T138" s="70">
        <v>1252.9300000000005</v>
      </c>
      <c r="U138" s="80">
        <v>81753.173721494197</v>
      </c>
      <c r="V138" s="73"/>
      <c r="X138" s="30"/>
      <c r="Y138" s="54">
        <v>129</v>
      </c>
      <c r="Z138" s="70">
        <v>58867.750000000015</v>
      </c>
      <c r="AA138" s="75">
        <v>14568</v>
      </c>
      <c r="AB138" s="75">
        <v>5012.16</v>
      </c>
      <c r="AC138" s="75">
        <v>78523.839999999997</v>
      </c>
      <c r="AD138" s="194">
        <v>338265.2</v>
      </c>
      <c r="AE138" s="194">
        <v>7176.8</v>
      </c>
      <c r="AF138" s="76">
        <v>0.06</v>
      </c>
      <c r="AG138" s="70">
        <v>5098.8000000000011</v>
      </c>
      <c r="AH138" s="31"/>
    </row>
    <row r="139" spans="3:34" x14ac:dyDescent="0.25">
      <c r="C139" s="72"/>
      <c r="D139" s="54">
        <v>130</v>
      </c>
      <c r="E139" s="70">
        <v>58351.91</v>
      </c>
      <c r="F139" s="75">
        <v>9798</v>
      </c>
      <c r="G139" s="75">
        <v>88306</v>
      </c>
      <c r="H139" s="194">
        <v>343364</v>
      </c>
      <c r="I139" s="194">
        <v>12791.44</v>
      </c>
      <c r="J139" s="75">
        <v>81753.173721494197</v>
      </c>
      <c r="K139" s="73"/>
      <c r="M139" s="72"/>
      <c r="N139" s="54">
        <v>130</v>
      </c>
      <c r="O139" s="70">
        <v>49464.142499999994</v>
      </c>
      <c r="P139" s="75">
        <v>9247</v>
      </c>
      <c r="Q139" s="75">
        <v>84769</v>
      </c>
      <c r="R139" s="194">
        <v>327923.24249999999</v>
      </c>
      <c r="S139" s="194">
        <v>6238.45</v>
      </c>
      <c r="T139" s="70">
        <v>1132.7575000000004</v>
      </c>
      <c r="U139" s="80">
        <v>81753.173721494197</v>
      </c>
      <c r="V139" s="73"/>
      <c r="X139" s="30"/>
      <c r="Y139" s="54">
        <v>130</v>
      </c>
      <c r="Z139" s="70">
        <v>45492.250000000022</v>
      </c>
      <c r="AA139" s="75">
        <v>12141</v>
      </c>
      <c r="AB139" s="75">
        <v>4093.75</v>
      </c>
      <c r="AC139" s="75">
        <v>77781.25</v>
      </c>
      <c r="AD139" s="194">
        <v>324806.65000000002</v>
      </c>
      <c r="AE139" s="194">
        <v>7093.75</v>
      </c>
      <c r="AF139" s="76">
        <v>0.05</v>
      </c>
      <c r="AG139" s="70">
        <v>4249.3500000000013</v>
      </c>
      <c r="AH139" s="31"/>
    </row>
    <row r="140" spans="3:34" x14ac:dyDescent="0.25">
      <c r="C140" s="72"/>
      <c r="D140" s="54">
        <v>131</v>
      </c>
      <c r="E140" s="70">
        <v>44493.59</v>
      </c>
      <c r="F140" s="75">
        <v>4686</v>
      </c>
      <c r="G140" s="75">
        <v>89330</v>
      </c>
      <c r="H140" s="194">
        <v>329056</v>
      </c>
      <c r="I140" s="194">
        <v>12341.76</v>
      </c>
      <c r="J140" s="75">
        <v>81753.173721494197</v>
      </c>
      <c r="K140" s="73"/>
      <c r="M140" s="72"/>
      <c r="N140" s="54">
        <v>131</v>
      </c>
      <c r="O140" s="70">
        <v>49327.480000000018</v>
      </c>
      <c r="P140" s="75">
        <v>11132</v>
      </c>
      <c r="Q140" s="75">
        <v>82884</v>
      </c>
      <c r="R140" s="194">
        <v>327692.33</v>
      </c>
      <c r="S140" s="194">
        <v>6144.2</v>
      </c>
      <c r="T140" s="70">
        <v>1363.6700000000005</v>
      </c>
      <c r="U140" s="80">
        <v>81753.173721494197</v>
      </c>
      <c r="V140" s="73"/>
      <c r="X140" s="30"/>
      <c r="Y140" s="54">
        <v>131</v>
      </c>
      <c r="Z140" s="70">
        <v>31233.849999999988</v>
      </c>
      <c r="AA140" s="75">
        <v>12657</v>
      </c>
      <c r="AB140" s="75">
        <v>6181.68</v>
      </c>
      <c r="AC140" s="75">
        <v>71089.320000000007</v>
      </c>
      <c r="AD140" s="194">
        <v>310318.05</v>
      </c>
      <c r="AE140" s="194">
        <v>6863.55</v>
      </c>
      <c r="AF140" s="76">
        <v>0.08</v>
      </c>
      <c r="AG140" s="70">
        <v>4429.9500000000007</v>
      </c>
      <c r="AH140" s="31"/>
    </row>
    <row r="141" spans="3:34" x14ac:dyDescent="0.25">
      <c r="C141" s="72"/>
      <c r="D141" s="54">
        <v>132</v>
      </c>
      <c r="E141" s="70">
        <v>30635.27</v>
      </c>
      <c r="F141" s="75">
        <v>6284</v>
      </c>
      <c r="G141" s="75">
        <v>83644</v>
      </c>
      <c r="H141" s="194">
        <v>314748</v>
      </c>
      <c r="I141" s="194">
        <v>11892.08</v>
      </c>
      <c r="J141" s="75">
        <v>81753.173721494197</v>
      </c>
      <c r="K141" s="73"/>
      <c r="M141" s="72"/>
      <c r="N141" s="54">
        <v>132</v>
      </c>
      <c r="O141" s="70">
        <v>49164.210000000021</v>
      </c>
      <c r="P141" s="75">
        <v>13384</v>
      </c>
      <c r="Q141" s="75">
        <v>80632</v>
      </c>
      <c r="R141" s="194">
        <v>327416.46000000002</v>
      </c>
      <c r="S141" s="194">
        <v>6031.6</v>
      </c>
      <c r="T141" s="70">
        <v>1639.5400000000006</v>
      </c>
      <c r="U141" s="80">
        <v>81753.173721494197</v>
      </c>
      <c r="V141" s="73"/>
      <c r="X141" s="30"/>
      <c r="Y141" s="54">
        <v>132</v>
      </c>
      <c r="Z141" s="70">
        <v>86695.299999999988</v>
      </c>
      <c r="AA141" s="75">
        <v>15822</v>
      </c>
      <c r="AB141" s="75">
        <v>8141.13</v>
      </c>
      <c r="AC141" s="75">
        <v>82315.87</v>
      </c>
      <c r="AD141" s="194">
        <v>366438.8</v>
      </c>
      <c r="AE141" s="194">
        <v>7522.85</v>
      </c>
      <c r="AF141" s="76">
        <v>0.09</v>
      </c>
      <c r="AG141" s="70">
        <v>5537.7000000000016</v>
      </c>
      <c r="AH141" s="31"/>
    </row>
    <row r="142" spans="3:34" x14ac:dyDescent="0.25">
      <c r="C142" s="72"/>
      <c r="D142" s="54">
        <v>133</v>
      </c>
      <c r="E142" s="70">
        <v>44493.59</v>
      </c>
      <c r="F142" s="75">
        <v>4782</v>
      </c>
      <c r="G142" s="75">
        <v>89234</v>
      </c>
      <c r="H142" s="194">
        <v>329056</v>
      </c>
      <c r="I142" s="194">
        <v>12341.76</v>
      </c>
      <c r="J142" s="75">
        <v>81753.173721494197</v>
      </c>
      <c r="K142" s="73"/>
      <c r="M142" s="72"/>
      <c r="N142" s="54">
        <v>133</v>
      </c>
      <c r="O142" s="70">
        <v>49172.112500000003</v>
      </c>
      <c r="P142" s="75">
        <v>13275</v>
      </c>
      <c r="Q142" s="75">
        <v>80741</v>
      </c>
      <c r="R142" s="194">
        <v>327429.8125</v>
      </c>
      <c r="S142" s="194">
        <v>6037.05</v>
      </c>
      <c r="T142" s="70">
        <v>1626.1875000000007</v>
      </c>
      <c r="U142" s="80">
        <v>81753.173721494197</v>
      </c>
      <c r="V142" s="73"/>
      <c r="X142" s="30"/>
      <c r="Y142" s="54">
        <v>133</v>
      </c>
      <c r="Z142" s="70">
        <v>45226.150000000009</v>
      </c>
      <c r="AA142" s="75">
        <v>13028</v>
      </c>
      <c r="AB142" s="75">
        <v>4049.4</v>
      </c>
      <c r="AC142" s="75">
        <v>76938.600000000006</v>
      </c>
      <c r="AD142" s="194">
        <v>324496.2</v>
      </c>
      <c r="AE142" s="194">
        <v>7049.4</v>
      </c>
      <c r="AF142" s="76">
        <v>0.05</v>
      </c>
      <c r="AG142" s="70">
        <v>4559.8000000000011</v>
      </c>
      <c r="AH142" s="31"/>
    </row>
    <row r="143" spans="3:34" x14ac:dyDescent="0.25">
      <c r="C143" s="72"/>
      <c r="D143" s="54">
        <v>134</v>
      </c>
      <c r="E143" s="70">
        <v>58351.91</v>
      </c>
      <c r="F143" s="75">
        <v>4894</v>
      </c>
      <c r="G143" s="75">
        <v>93210</v>
      </c>
      <c r="H143" s="194">
        <v>343364</v>
      </c>
      <c r="I143" s="194">
        <v>12791.44</v>
      </c>
      <c r="J143" s="75">
        <v>81753.173721494197</v>
      </c>
      <c r="K143" s="73"/>
      <c r="M143" s="72"/>
      <c r="N143" s="54">
        <v>134</v>
      </c>
      <c r="O143" s="70">
        <v>35192.414999999979</v>
      </c>
      <c r="P143" s="75">
        <v>11566</v>
      </c>
      <c r="Q143" s="75">
        <v>78362</v>
      </c>
      <c r="R143" s="194">
        <v>313331.16499999998</v>
      </c>
      <c r="S143" s="194">
        <v>5918.1</v>
      </c>
      <c r="T143" s="70">
        <v>1416.8350000000007</v>
      </c>
      <c r="U143" s="80">
        <v>81753.173721494197</v>
      </c>
      <c r="V143" s="73"/>
      <c r="X143" s="30"/>
      <c r="Y143" s="54">
        <v>134</v>
      </c>
      <c r="Z143" s="70">
        <v>31000.45</v>
      </c>
      <c r="AA143" s="75">
        <v>13435</v>
      </c>
      <c r="AB143" s="75">
        <v>3824.65</v>
      </c>
      <c r="AC143" s="75">
        <v>72668.350000000006</v>
      </c>
      <c r="AD143" s="194">
        <v>310045.75</v>
      </c>
      <c r="AE143" s="194">
        <v>6824.65</v>
      </c>
      <c r="AF143" s="76">
        <v>0.05</v>
      </c>
      <c r="AG143" s="70">
        <v>4702.2500000000009</v>
      </c>
      <c r="AH143" s="31"/>
    </row>
    <row r="144" spans="3:34" x14ac:dyDescent="0.25">
      <c r="C144" s="72"/>
      <c r="D144" s="54">
        <v>135</v>
      </c>
      <c r="E144" s="70">
        <v>30635.27</v>
      </c>
      <c r="F144" s="75">
        <v>6196</v>
      </c>
      <c r="G144" s="75">
        <v>83732</v>
      </c>
      <c r="H144" s="194">
        <v>314748</v>
      </c>
      <c r="I144" s="194">
        <v>11892.08</v>
      </c>
      <c r="J144" s="75">
        <v>81753.173721494197</v>
      </c>
      <c r="K144" s="73"/>
      <c r="M144" s="72"/>
      <c r="N144" s="54">
        <v>135</v>
      </c>
      <c r="O144" s="70">
        <v>91581.905000000028</v>
      </c>
      <c r="P144" s="75">
        <v>11862</v>
      </c>
      <c r="Q144" s="75">
        <v>94417</v>
      </c>
      <c r="R144" s="194">
        <v>370523.40500000003</v>
      </c>
      <c r="S144" s="194">
        <v>6720.85</v>
      </c>
      <c r="T144" s="70">
        <v>1453.0950000000007</v>
      </c>
      <c r="U144" s="80">
        <v>81753.173721494197</v>
      </c>
      <c r="V144" s="73"/>
      <c r="X144" s="30"/>
      <c r="Y144" s="54">
        <v>135</v>
      </c>
      <c r="Z144" s="70">
        <v>46320.55</v>
      </c>
      <c r="AA144" s="75">
        <v>9380</v>
      </c>
      <c r="AB144" s="75">
        <v>7617.24</v>
      </c>
      <c r="AC144" s="75">
        <v>77018.759999999995</v>
      </c>
      <c r="AD144" s="194">
        <v>325773</v>
      </c>
      <c r="AE144" s="194">
        <v>7231.8</v>
      </c>
      <c r="AF144" s="76">
        <v>0.09</v>
      </c>
      <c r="AG144" s="70">
        <v>3283.0000000000009</v>
      </c>
      <c r="AH144" s="31"/>
    </row>
    <row r="145" spans="3:34" x14ac:dyDescent="0.25">
      <c r="C145" s="72"/>
      <c r="D145" s="54">
        <v>136</v>
      </c>
      <c r="E145" s="70">
        <v>86065.16</v>
      </c>
      <c r="F145" s="75">
        <v>8487</v>
      </c>
      <c r="G145" s="75">
        <v>97792</v>
      </c>
      <c r="H145" s="194">
        <v>371976.5</v>
      </c>
      <c r="I145" s="194">
        <v>13690.69</v>
      </c>
      <c r="J145" s="75">
        <v>81753.173721494197</v>
      </c>
      <c r="K145" s="73"/>
      <c r="M145" s="72"/>
      <c r="N145" s="54">
        <v>136</v>
      </c>
      <c r="O145" s="70">
        <v>63379.459999999985</v>
      </c>
      <c r="P145" s="75">
        <v>11844</v>
      </c>
      <c r="Q145" s="75">
        <v>86260</v>
      </c>
      <c r="R145" s="194">
        <v>341913.11</v>
      </c>
      <c r="S145" s="194">
        <v>6313</v>
      </c>
      <c r="T145" s="70">
        <v>1450.8900000000006</v>
      </c>
      <c r="U145" s="80">
        <v>81753.173721494197</v>
      </c>
      <c r="V145" s="73"/>
      <c r="X145" s="30"/>
      <c r="Y145" s="54">
        <v>136</v>
      </c>
      <c r="Z145" s="70">
        <v>32082.849999999988</v>
      </c>
      <c r="AA145" s="75">
        <v>9827</v>
      </c>
      <c r="AB145" s="75">
        <v>8010.1</v>
      </c>
      <c r="AC145" s="75">
        <v>72090.899999999994</v>
      </c>
      <c r="AD145" s="194">
        <v>311308.55</v>
      </c>
      <c r="AE145" s="194">
        <v>7005.05</v>
      </c>
      <c r="AF145" s="76">
        <v>0.1</v>
      </c>
      <c r="AG145" s="70">
        <v>3439.4500000000007</v>
      </c>
      <c r="AH145" s="31"/>
    </row>
    <row r="146" spans="3:34" x14ac:dyDescent="0.25">
      <c r="C146" s="72"/>
      <c r="D146" s="54">
        <v>137</v>
      </c>
      <c r="E146" s="70">
        <v>58351.91</v>
      </c>
      <c r="F146" s="75">
        <v>8774</v>
      </c>
      <c r="G146" s="75">
        <v>89330</v>
      </c>
      <c r="H146" s="194">
        <v>343364</v>
      </c>
      <c r="I146" s="194">
        <v>12791.44</v>
      </c>
      <c r="J146" s="75">
        <v>81753.173721494197</v>
      </c>
      <c r="K146" s="73"/>
      <c r="M146" s="72"/>
      <c r="N146" s="54">
        <v>137</v>
      </c>
      <c r="O146" s="70">
        <v>63384.462500000001</v>
      </c>
      <c r="P146" s="75">
        <v>11775</v>
      </c>
      <c r="Q146" s="75">
        <v>86329</v>
      </c>
      <c r="R146" s="194">
        <v>341921.5625</v>
      </c>
      <c r="S146" s="194">
        <v>6316.45</v>
      </c>
      <c r="T146" s="70">
        <v>1442.4375000000007</v>
      </c>
      <c r="U146" s="80">
        <v>81753.173721494197</v>
      </c>
      <c r="V146" s="73"/>
      <c r="X146" s="30"/>
      <c r="Y146" s="54">
        <v>137</v>
      </c>
      <c r="Z146" s="70">
        <v>32106.55000000001</v>
      </c>
      <c r="AA146" s="75">
        <v>9748</v>
      </c>
      <c r="AB146" s="75">
        <v>7216.2</v>
      </c>
      <c r="AC146" s="75">
        <v>72963.8</v>
      </c>
      <c r="AD146" s="194">
        <v>311336.2</v>
      </c>
      <c r="AE146" s="194">
        <v>7009</v>
      </c>
      <c r="AF146" s="76">
        <v>0.09</v>
      </c>
      <c r="AG146" s="70">
        <v>3411.8000000000011</v>
      </c>
      <c r="AH146" s="31"/>
    </row>
    <row r="147" spans="3:34" x14ac:dyDescent="0.25">
      <c r="C147" s="72"/>
      <c r="D147" s="54">
        <v>138</v>
      </c>
      <c r="E147" s="70">
        <v>44493.59</v>
      </c>
      <c r="F147" s="75">
        <v>7534</v>
      </c>
      <c r="G147" s="75">
        <v>86482</v>
      </c>
      <c r="H147" s="194">
        <v>329056</v>
      </c>
      <c r="I147" s="194">
        <v>12341.76</v>
      </c>
      <c r="J147" s="75">
        <v>81753.173721494197</v>
      </c>
      <c r="K147" s="73"/>
      <c r="M147" s="72"/>
      <c r="N147" s="54">
        <v>138</v>
      </c>
      <c r="O147" s="70">
        <v>49100.33749999998</v>
      </c>
      <c r="P147" s="75">
        <v>14265</v>
      </c>
      <c r="Q147" s="75">
        <v>79751</v>
      </c>
      <c r="R147" s="194">
        <v>327308.53749999998</v>
      </c>
      <c r="S147" s="194">
        <v>5987.55</v>
      </c>
      <c r="T147" s="70">
        <v>1747.4625000000008</v>
      </c>
      <c r="U147" s="80">
        <v>81753.173721494197</v>
      </c>
      <c r="V147" s="73"/>
      <c r="X147" s="30"/>
      <c r="Y147" s="54">
        <v>138</v>
      </c>
      <c r="Z147" s="70">
        <v>45704.349999999977</v>
      </c>
      <c r="AA147" s="75">
        <v>11434</v>
      </c>
      <c r="AB147" s="75">
        <v>8258.2000000000007</v>
      </c>
      <c r="AC147" s="75">
        <v>74323.8</v>
      </c>
      <c r="AD147" s="194">
        <v>325054.09999999998</v>
      </c>
      <c r="AE147" s="194">
        <v>7129.1</v>
      </c>
      <c r="AF147" s="76">
        <v>0.1</v>
      </c>
      <c r="AG147" s="70">
        <v>4001.900000000001</v>
      </c>
      <c r="AH147" s="31"/>
    </row>
    <row r="148" spans="3:34" x14ac:dyDescent="0.25">
      <c r="C148" s="72"/>
      <c r="D148" s="54">
        <v>139</v>
      </c>
      <c r="E148" s="70">
        <v>44493.59</v>
      </c>
      <c r="F148" s="75">
        <v>7462</v>
      </c>
      <c r="G148" s="75">
        <v>86554</v>
      </c>
      <c r="H148" s="194">
        <v>329056</v>
      </c>
      <c r="I148" s="194">
        <v>12341.76</v>
      </c>
      <c r="J148" s="75">
        <v>81753.173721494197</v>
      </c>
      <c r="K148" s="73"/>
      <c r="M148" s="72"/>
      <c r="N148" s="54">
        <v>139</v>
      </c>
      <c r="O148" s="70">
        <v>35311.967499999984</v>
      </c>
      <c r="P148" s="75">
        <v>9917</v>
      </c>
      <c r="Q148" s="75">
        <v>80011</v>
      </c>
      <c r="R148" s="194">
        <v>313533.16749999998</v>
      </c>
      <c r="S148" s="194">
        <v>6000.55</v>
      </c>
      <c r="T148" s="70">
        <v>1214.8325000000004</v>
      </c>
      <c r="U148" s="80">
        <v>81753.173721494197</v>
      </c>
      <c r="V148" s="73"/>
      <c r="X148" s="30"/>
      <c r="Y148" s="54">
        <v>139</v>
      </c>
      <c r="Z148" s="70">
        <v>59435.65</v>
      </c>
      <c r="AA148" s="75">
        <v>12675</v>
      </c>
      <c r="AB148" s="75">
        <v>4271.45</v>
      </c>
      <c r="AC148" s="75">
        <v>81157.55</v>
      </c>
      <c r="AD148" s="194">
        <v>338927.75</v>
      </c>
      <c r="AE148" s="194">
        <v>7271.45</v>
      </c>
      <c r="AF148" s="76">
        <v>0.05</v>
      </c>
      <c r="AG148" s="70">
        <v>4436.2500000000009</v>
      </c>
      <c r="AH148" s="31"/>
    </row>
    <row r="149" spans="3:34" x14ac:dyDescent="0.25">
      <c r="C149" s="72"/>
      <c r="D149" s="54">
        <v>140</v>
      </c>
      <c r="E149" s="70">
        <v>44493.59</v>
      </c>
      <c r="F149" s="75">
        <v>4676</v>
      </c>
      <c r="G149" s="75">
        <v>89340</v>
      </c>
      <c r="H149" s="194">
        <v>329056</v>
      </c>
      <c r="I149" s="194">
        <v>12341.76</v>
      </c>
      <c r="J149" s="75">
        <v>81753.173721494197</v>
      </c>
      <c r="K149" s="73"/>
      <c r="M149" s="72"/>
      <c r="N149" s="54">
        <v>140</v>
      </c>
      <c r="O149" s="70">
        <v>63180.01249999999</v>
      </c>
      <c r="P149" s="75">
        <v>14595</v>
      </c>
      <c r="Q149" s="75">
        <v>83509</v>
      </c>
      <c r="R149" s="194">
        <v>341576.11249999999</v>
      </c>
      <c r="S149" s="194">
        <v>6175.45</v>
      </c>
      <c r="T149" s="70">
        <v>1787.8875000000007</v>
      </c>
      <c r="U149" s="80">
        <v>81753.173721494197</v>
      </c>
      <c r="V149" s="73"/>
      <c r="X149" s="30"/>
      <c r="Y149" s="54">
        <v>140</v>
      </c>
      <c r="Z149" s="70">
        <v>60003.549999999988</v>
      </c>
      <c r="AA149" s="75">
        <v>10782</v>
      </c>
      <c r="AB149" s="75">
        <v>5239.32</v>
      </c>
      <c r="AC149" s="75">
        <v>82082.679999999993</v>
      </c>
      <c r="AD149" s="194">
        <v>339590.3</v>
      </c>
      <c r="AE149" s="194">
        <v>7366.1</v>
      </c>
      <c r="AF149" s="76">
        <v>0.06</v>
      </c>
      <c r="AG149" s="70">
        <v>3773.7000000000012</v>
      </c>
      <c r="AH149" s="31"/>
    </row>
    <row r="150" spans="3:34" x14ac:dyDescent="0.25">
      <c r="C150" s="72"/>
      <c r="D150" s="54">
        <v>141</v>
      </c>
      <c r="E150" s="70">
        <v>58351.91</v>
      </c>
      <c r="F150" s="75">
        <v>9968</v>
      </c>
      <c r="G150" s="75">
        <v>88136</v>
      </c>
      <c r="H150" s="194">
        <v>343364</v>
      </c>
      <c r="I150" s="194">
        <v>12791.44</v>
      </c>
      <c r="J150" s="75">
        <v>81753.173721494197</v>
      </c>
      <c r="K150" s="73"/>
      <c r="M150" s="72"/>
      <c r="N150" s="54">
        <v>141</v>
      </c>
      <c r="O150" s="70">
        <v>63524.749999999978</v>
      </c>
      <c r="P150" s="75">
        <v>9840</v>
      </c>
      <c r="Q150" s="75">
        <v>88264</v>
      </c>
      <c r="R150" s="194">
        <v>342158.6</v>
      </c>
      <c r="S150" s="194">
        <v>6413.2</v>
      </c>
      <c r="T150" s="70">
        <v>1205.4000000000005</v>
      </c>
      <c r="U150" s="80">
        <v>81753.173721494197</v>
      </c>
      <c r="V150" s="73"/>
      <c r="X150" s="30"/>
      <c r="Y150" s="54">
        <v>141</v>
      </c>
      <c r="Z150" s="70">
        <v>45695.349999999977</v>
      </c>
      <c r="AA150" s="75">
        <v>11464</v>
      </c>
      <c r="AB150" s="75">
        <v>4953.12</v>
      </c>
      <c r="AC150" s="75">
        <v>77598.880000000005</v>
      </c>
      <c r="AD150" s="194">
        <v>325043.59999999998</v>
      </c>
      <c r="AE150" s="194">
        <v>7127.6</v>
      </c>
      <c r="AF150" s="76">
        <v>0.06</v>
      </c>
      <c r="AG150" s="70">
        <v>4012.400000000001</v>
      </c>
      <c r="AH150" s="31"/>
    </row>
    <row r="151" spans="3:34" x14ac:dyDescent="0.25">
      <c r="C151" s="72"/>
      <c r="D151" s="54">
        <v>142</v>
      </c>
      <c r="E151" s="70">
        <v>58351.91</v>
      </c>
      <c r="F151" s="75">
        <v>6927</v>
      </c>
      <c r="G151" s="75">
        <v>91177</v>
      </c>
      <c r="H151" s="194">
        <v>343364</v>
      </c>
      <c r="I151" s="194">
        <v>12791.44</v>
      </c>
      <c r="J151" s="75">
        <v>81753.173721494197</v>
      </c>
      <c r="K151" s="73"/>
      <c r="M151" s="72"/>
      <c r="N151" s="54">
        <v>142</v>
      </c>
      <c r="O151" s="70">
        <v>35249.545000000006</v>
      </c>
      <c r="P151" s="75">
        <v>10778</v>
      </c>
      <c r="Q151" s="75">
        <v>79150</v>
      </c>
      <c r="R151" s="194">
        <v>313427.69500000001</v>
      </c>
      <c r="S151" s="194">
        <v>5957.5</v>
      </c>
      <c r="T151" s="70">
        <v>1320.3050000000005</v>
      </c>
      <c r="U151" s="80">
        <v>81753.173721494197</v>
      </c>
      <c r="V151" s="73"/>
      <c r="X151" s="30"/>
      <c r="Y151" s="54">
        <v>142</v>
      </c>
      <c r="Z151" s="70">
        <v>31545.55000000001</v>
      </c>
      <c r="AA151" s="75">
        <v>11618</v>
      </c>
      <c r="AB151" s="75">
        <v>7831</v>
      </c>
      <c r="AC151" s="75">
        <v>70479</v>
      </c>
      <c r="AD151" s="194">
        <v>310681.7</v>
      </c>
      <c r="AE151" s="194">
        <v>6915.5</v>
      </c>
      <c r="AF151" s="76">
        <v>0.1</v>
      </c>
      <c r="AG151" s="70">
        <v>4066.3000000000011</v>
      </c>
      <c r="AH151" s="31"/>
    </row>
    <row r="152" spans="3:34" x14ac:dyDescent="0.25">
      <c r="C152" s="72"/>
      <c r="D152" s="54">
        <v>143</v>
      </c>
      <c r="E152" s="70">
        <v>44493.59</v>
      </c>
      <c r="F152" s="75">
        <v>5779</v>
      </c>
      <c r="G152" s="75">
        <v>88237</v>
      </c>
      <c r="H152" s="194">
        <v>329056</v>
      </c>
      <c r="I152" s="194">
        <v>12341.76</v>
      </c>
      <c r="J152" s="75">
        <v>81753.173721494197</v>
      </c>
      <c r="K152" s="73"/>
      <c r="M152" s="72"/>
      <c r="N152" s="54">
        <v>143</v>
      </c>
      <c r="O152" s="70">
        <v>63319.792499999981</v>
      </c>
      <c r="P152" s="75">
        <v>12667</v>
      </c>
      <c r="Q152" s="75">
        <v>85437</v>
      </c>
      <c r="R152" s="194">
        <v>341812.29249999998</v>
      </c>
      <c r="S152" s="194">
        <v>6271.85</v>
      </c>
      <c r="T152" s="70">
        <v>1551.7075000000007</v>
      </c>
      <c r="U152" s="80">
        <v>81753.173721494197</v>
      </c>
      <c r="V152" s="73"/>
      <c r="X152" s="30"/>
      <c r="Y152" s="54">
        <v>143</v>
      </c>
      <c r="Z152" s="70">
        <v>45515.650000000009</v>
      </c>
      <c r="AA152" s="75">
        <v>12063</v>
      </c>
      <c r="AB152" s="75">
        <v>4097.6500000000005</v>
      </c>
      <c r="AC152" s="75">
        <v>77855.350000000006</v>
      </c>
      <c r="AD152" s="194">
        <v>324833.95</v>
      </c>
      <c r="AE152" s="194">
        <v>7097.6500000000005</v>
      </c>
      <c r="AF152" s="76">
        <v>0.05</v>
      </c>
      <c r="AG152" s="70">
        <v>4222.0500000000011</v>
      </c>
      <c r="AH152" s="31"/>
    </row>
    <row r="153" spans="3:34" x14ac:dyDescent="0.25">
      <c r="C153" s="72"/>
      <c r="D153" s="54">
        <v>144</v>
      </c>
      <c r="E153" s="70">
        <v>44493.59</v>
      </c>
      <c r="F153" s="75">
        <v>8430</v>
      </c>
      <c r="G153" s="75">
        <v>85586</v>
      </c>
      <c r="H153" s="194">
        <v>329056</v>
      </c>
      <c r="I153" s="194">
        <v>12341.76</v>
      </c>
      <c r="J153" s="75">
        <v>81753.173721494197</v>
      </c>
      <c r="K153" s="73"/>
      <c r="M153" s="72"/>
      <c r="N153" s="54">
        <v>144</v>
      </c>
      <c r="O153" s="70">
        <v>63464.57499999999</v>
      </c>
      <c r="P153" s="75">
        <v>10670</v>
      </c>
      <c r="Q153" s="75">
        <v>87434</v>
      </c>
      <c r="R153" s="194">
        <v>342056.92499999999</v>
      </c>
      <c r="S153" s="194">
        <v>6371.7</v>
      </c>
      <c r="T153" s="70">
        <v>1307.0750000000005</v>
      </c>
      <c r="U153" s="80">
        <v>81753.173721494197</v>
      </c>
      <c r="V153" s="73"/>
      <c r="X153" s="30"/>
      <c r="Y153" s="54">
        <v>144</v>
      </c>
      <c r="Z153" s="70">
        <v>31277.650000000023</v>
      </c>
      <c r="AA153" s="75">
        <v>12511</v>
      </c>
      <c r="AB153" s="75">
        <v>5419.1900000000005</v>
      </c>
      <c r="AC153" s="75">
        <v>71997.81</v>
      </c>
      <c r="AD153" s="194">
        <v>310369.15000000002</v>
      </c>
      <c r="AE153" s="194">
        <v>6870.85</v>
      </c>
      <c r="AF153" s="76">
        <v>7.0000000000000007E-2</v>
      </c>
      <c r="AG153" s="70">
        <v>4378.8500000000013</v>
      </c>
      <c r="AH153" s="31"/>
    </row>
    <row r="154" spans="3:34" x14ac:dyDescent="0.25">
      <c r="C154" s="72"/>
      <c r="D154" s="54">
        <v>145</v>
      </c>
      <c r="E154" s="70">
        <v>30635.27</v>
      </c>
      <c r="F154" s="75">
        <v>7191</v>
      </c>
      <c r="G154" s="75">
        <v>82737</v>
      </c>
      <c r="H154" s="194">
        <v>314748</v>
      </c>
      <c r="I154" s="194">
        <v>11892.08</v>
      </c>
      <c r="J154" s="75">
        <v>81753.173721494197</v>
      </c>
      <c r="K154" s="73"/>
      <c r="M154" s="72"/>
      <c r="N154" s="54">
        <v>145</v>
      </c>
      <c r="O154" s="70">
        <v>35110.997499999976</v>
      </c>
      <c r="P154" s="75">
        <v>12689</v>
      </c>
      <c r="Q154" s="75">
        <v>77239</v>
      </c>
      <c r="R154" s="194">
        <v>313193.59749999997</v>
      </c>
      <c r="S154" s="194">
        <v>5861.9500000000007</v>
      </c>
      <c r="T154" s="70">
        <v>1554.4025000000006</v>
      </c>
      <c r="U154" s="80">
        <v>81753.173721494197</v>
      </c>
      <c r="V154" s="73"/>
      <c r="X154" s="30"/>
      <c r="Y154" s="54">
        <v>145</v>
      </c>
      <c r="Z154" s="70">
        <v>45458.05</v>
      </c>
      <c r="AA154" s="75">
        <v>12255</v>
      </c>
      <c r="AB154" s="75">
        <v>8176.1</v>
      </c>
      <c r="AC154" s="75">
        <v>73584.899999999994</v>
      </c>
      <c r="AD154" s="194">
        <v>324766.75</v>
      </c>
      <c r="AE154" s="194">
        <v>7088.05</v>
      </c>
      <c r="AF154" s="76">
        <v>0.1</v>
      </c>
      <c r="AG154" s="70">
        <v>4289.2500000000009</v>
      </c>
      <c r="AH154" s="31"/>
    </row>
    <row r="155" spans="3:34" x14ac:dyDescent="0.25">
      <c r="C155" s="72"/>
      <c r="D155" s="54">
        <v>146</v>
      </c>
      <c r="E155" s="70">
        <v>86065.16</v>
      </c>
      <c r="F155" s="75">
        <v>5389</v>
      </c>
      <c r="G155" s="75">
        <v>100890</v>
      </c>
      <c r="H155" s="194">
        <v>371976.5</v>
      </c>
      <c r="I155" s="194">
        <v>13690.69</v>
      </c>
      <c r="J155" s="75">
        <v>81753.173721494197</v>
      </c>
      <c r="K155" s="73"/>
      <c r="M155" s="72"/>
      <c r="N155" s="54">
        <v>146</v>
      </c>
      <c r="O155" s="70">
        <v>63150.577499999999</v>
      </c>
      <c r="P155" s="75">
        <v>15001</v>
      </c>
      <c r="Q155" s="75">
        <v>83103</v>
      </c>
      <c r="R155" s="194">
        <v>341526.3775</v>
      </c>
      <c r="S155" s="194">
        <v>6155.1500000000005</v>
      </c>
      <c r="T155" s="70">
        <v>1837.6225000000009</v>
      </c>
      <c r="U155" s="80">
        <v>81753.173721494197</v>
      </c>
      <c r="V155" s="73"/>
      <c r="X155" s="30"/>
      <c r="Y155" s="54">
        <v>146</v>
      </c>
      <c r="Z155" s="70">
        <v>45509.650000000009</v>
      </c>
      <c r="AA155" s="75">
        <v>12083</v>
      </c>
      <c r="AB155" s="75">
        <v>6554.64</v>
      </c>
      <c r="AC155" s="75">
        <v>75378.36</v>
      </c>
      <c r="AD155" s="194">
        <v>324826.95</v>
      </c>
      <c r="AE155" s="194">
        <v>7096.6500000000005</v>
      </c>
      <c r="AF155" s="76">
        <v>0.08</v>
      </c>
      <c r="AG155" s="70">
        <v>4229.0500000000011</v>
      </c>
      <c r="AH155" s="31"/>
    </row>
    <row r="156" spans="3:34" x14ac:dyDescent="0.25">
      <c r="C156" s="72"/>
      <c r="D156" s="54">
        <v>147</v>
      </c>
      <c r="E156" s="70">
        <v>30635.27</v>
      </c>
      <c r="F156" s="75">
        <v>9028</v>
      </c>
      <c r="G156" s="75">
        <v>80900</v>
      </c>
      <c r="H156" s="194">
        <v>314748</v>
      </c>
      <c r="I156" s="194">
        <v>11892.08</v>
      </c>
      <c r="J156" s="75">
        <v>81753.173721494197</v>
      </c>
      <c r="K156" s="73"/>
      <c r="M156" s="72"/>
      <c r="N156" s="54">
        <v>147</v>
      </c>
      <c r="O156" s="70">
        <v>49459.865000000013</v>
      </c>
      <c r="P156" s="75">
        <v>9306</v>
      </c>
      <c r="Q156" s="75">
        <v>84710</v>
      </c>
      <c r="R156" s="194">
        <v>327916.01500000001</v>
      </c>
      <c r="S156" s="194">
        <v>6235.5</v>
      </c>
      <c r="T156" s="70">
        <v>1139.9850000000006</v>
      </c>
      <c r="U156" s="80">
        <v>81753.173721494197</v>
      </c>
      <c r="V156" s="73"/>
      <c r="X156" s="30"/>
      <c r="Y156" s="54">
        <v>147</v>
      </c>
      <c r="Z156" s="70">
        <v>88223.199999999983</v>
      </c>
      <c r="AA156" s="75">
        <v>10729</v>
      </c>
      <c r="AB156" s="75">
        <v>6688.5000000000009</v>
      </c>
      <c r="AC156" s="75">
        <v>88861.5</v>
      </c>
      <c r="AD156" s="194">
        <v>368221.35</v>
      </c>
      <c r="AE156" s="194">
        <v>7777.5</v>
      </c>
      <c r="AF156" s="76">
        <v>7.0000000000000007E-2</v>
      </c>
      <c r="AG156" s="70">
        <v>3755.150000000001</v>
      </c>
      <c r="AH156" s="31"/>
    </row>
    <row r="157" spans="3:34" x14ac:dyDescent="0.25">
      <c r="C157" s="72"/>
      <c r="D157" s="54">
        <v>148</v>
      </c>
      <c r="E157" s="70">
        <v>44493.59</v>
      </c>
      <c r="F157" s="75">
        <v>9438</v>
      </c>
      <c r="G157" s="75">
        <v>84578</v>
      </c>
      <c r="H157" s="194">
        <v>329056</v>
      </c>
      <c r="I157" s="194">
        <v>12341.76</v>
      </c>
      <c r="J157" s="75">
        <v>81753.173721494197</v>
      </c>
      <c r="K157" s="73"/>
      <c r="M157" s="72"/>
      <c r="N157" s="54">
        <v>148</v>
      </c>
      <c r="O157" s="70">
        <v>63388.014999999999</v>
      </c>
      <c r="P157" s="75">
        <v>11726</v>
      </c>
      <c r="Q157" s="75">
        <v>86378</v>
      </c>
      <c r="R157" s="194">
        <v>341927.565</v>
      </c>
      <c r="S157" s="194">
        <v>6318.9000000000005</v>
      </c>
      <c r="T157" s="70">
        <v>1436.4350000000006</v>
      </c>
      <c r="U157" s="80">
        <v>81753.173721494197</v>
      </c>
      <c r="V157" s="73"/>
      <c r="X157" s="30"/>
      <c r="Y157" s="54">
        <v>148</v>
      </c>
      <c r="Z157" s="70">
        <v>58857.85000000002</v>
      </c>
      <c r="AA157" s="75">
        <v>14601</v>
      </c>
      <c r="AB157" s="75">
        <v>6680.24</v>
      </c>
      <c r="AC157" s="75">
        <v>76822.759999999995</v>
      </c>
      <c r="AD157" s="194">
        <v>338253.65</v>
      </c>
      <c r="AE157" s="194">
        <v>7175.1500000000005</v>
      </c>
      <c r="AF157" s="76">
        <v>0.08</v>
      </c>
      <c r="AG157" s="70">
        <v>5110.3500000000013</v>
      </c>
      <c r="AH157" s="31"/>
    </row>
    <row r="158" spans="3:34" x14ac:dyDescent="0.25">
      <c r="C158" s="72"/>
      <c r="D158" s="54">
        <v>149</v>
      </c>
      <c r="E158" s="70">
        <v>44493.59</v>
      </c>
      <c r="F158" s="75">
        <v>5685</v>
      </c>
      <c r="G158" s="75">
        <v>88331</v>
      </c>
      <c r="H158" s="194">
        <v>329056</v>
      </c>
      <c r="I158" s="194">
        <v>12341.76</v>
      </c>
      <c r="J158" s="75">
        <v>81753.173721494197</v>
      </c>
      <c r="K158" s="73"/>
      <c r="M158" s="72"/>
      <c r="N158" s="54">
        <v>149</v>
      </c>
      <c r="O158" s="70">
        <v>49246.425000000003</v>
      </c>
      <c r="P158" s="75">
        <v>12250</v>
      </c>
      <c r="Q158" s="75">
        <v>81766</v>
      </c>
      <c r="R158" s="194">
        <v>327555.375</v>
      </c>
      <c r="S158" s="194">
        <v>6088.3</v>
      </c>
      <c r="T158" s="70">
        <v>1500.6250000000007</v>
      </c>
      <c r="U158" s="80">
        <v>81753.173721494197</v>
      </c>
      <c r="V158" s="73"/>
      <c r="X158" s="30"/>
      <c r="Y158" s="54">
        <v>149</v>
      </c>
      <c r="Z158" s="70">
        <v>46289.650000000009</v>
      </c>
      <c r="AA158" s="75">
        <v>9483</v>
      </c>
      <c r="AB158" s="75">
        <v>5917.31</v>
      </c>
      <c r="AC158" s="75">
        <v>78615.69</v>
      </c>
      <c r="AD158" s="194">
        <v>325736.95</v>
      </c>
      <c r="AE158" s="194">
        <v>7226.6500000000005</v>
      </c>
      <c r="AF158" s="76">
        <v>7.0000000000000007E-2</v>
      </c>
      <c r="AG158" s="70">
        <v>3319.0500000000006</v>
      </c>
      <c r="AH158" s="31"/>
    </row>
    <row r="159" spans="3:34" x14ac:dyDescent="0.25">
      <c r="C159" s="72"/>
      <c r="D159" s="54">
        <v>150</v>
      </c>
      <c r="E159" s="70">
        <v>44493.59</v>
      </c>
      <c r="F159" s="75">
        <v>5557</v>
      </c>
      <c r="G159" s="75">
        <v>88459</v>
      </c>
      <c r="H159" s="194">
        <v>329056</v>
      </c>
      <c r="I159" s="194">
        <v>12341.76</v>
      </c>
      <c r="J159" s="75">
        <v>81753.173721494197</v>
      </c>
      <c r="K159" s="73"/>
      <c r="M159" s="72"/>
      <c r="N159" s="54">
        <v>150</v>
      </c>
      <c r="O159" s="70">
        <v>49116.577499999978</v>
      </c>
      <c r="P159" s="75">
        <v>14041</v>
      </c>
      <c r="Q159" s="75">
        <v>79975</v>
      </c>
      <c r="R159" s="194">
        <v>327335.97749999998</v>
      </c>
      <c r="S159" s="194">
        <v>5998.75</v>
      </c>
      <c r="T159" s="70">
        <v>1720.0225000000007</v>
      </c>
      <c r="U159" s="80">
        <v>81753.173721494197</v>
      </c>
      <c r="V159" s="73"/>
      <c r="X159" s="30"/>
      <c r="Y159" s="54">
        <v>150</v>
      </c>
      <c r="Z159" s="70">
        <v>59700.549999999988</v>
      </c>
      <c r="AA159" s="75">
        <v>11792</v>
      </c>
      <c r="AB159" s="75">
        <v>5178.72</v>
      </c>
      <c r="AC159" s="75">
        <v>81133.279999999999</v>
      </c>
      <c r="AD159" s="194">
        <v>339236.8</v>
      </c>
      <c r="AE159" s="194">
        <v>7315.6</v>
      </c>
      <c r="AF159" s="76">
        <v>0.06</v>
      </c>
      <c r="AG159" s="70">
        <v>4127.2000000000007</v>
      </c>
      <c r="AH159" s="31"/>
    </row>
    <row r="160" spans="3:34" x14ac:dyDescent="0.25">
      <c r="C160" s="72"/>
      <c r="D160" s="54">
        <v>151</v>
      </c>
      <c r="E160" s="70">
        <v>30635.27</v>
      </c>
      <c r="F160" s="75">
        <v>7066</v>
      </c>
      <c r="G160" s="75">
        <v>82862</v>
      </c>
      <c r="H160" s="194">
        <v>314748</v>
      </c>
      <c r="I160" s="194">
        <v>11892.08</v>
      </c>
      <c r="J160" s="75">
        <v>81753.173721494197</v>
      </c>
      <c r="K160" s="73"/>
      <c r="M160" s="72"/>
      <c r="N160" s="54">
        <v>151</v>
      </c>
      <c r="O160" s="70">
        <v>49380.477500000001</v>
      </c>
      <c r="P160" s="75">
        <v>10401</v>
      </c>
      <c r="Q160" s="75">
        <v>83615</v>
      </c>
      <c r="R160" s="194">
        <v>327781.8775</v>
      </c>
      <c r="S160" s="194">
        <v>6180.75</v>
      </c>
      <c r="T160" s="70">
        <v>1274.1225000000006</v>
      </c>
      <c r="U160" s="80">
        <v>81753.173721494197</v>
      </c>
      <c r="V160" s="73"/>
      <c r="X160" s="30"/>
      <c r="Y160" s="54">
        <v>151</v>
      </c>
      <c r="Z160" s="70">
        <v>60323.949999999975</v>
      </c>
      <c r="AA160" s="75">
        <v>9714</v>
      </c>
      <c r="AB160" s="75">
        <v>6187.3</v>
      </c>
      <c r="AC160" s="75">
        <v>82202.7</v>
      </c>
      <c r="AD160" s="194">
        <v>339964.1</v>
      </c>
      <c r="AE160" s="194">
        <v>7419.5</v>
      </c>
      <c r="AF160" s="76">
        <v>7.0000000000000007E-2</v>
      </c>
      <c r="AG160" s="70">
        <v>3399.900000000001</v>
      </c>
      <c r="AH160" s="31"/>
    </row>
    <row r="161" spans="3:34" x14ac:dyDescent="0.25">
      <c r="C161" s="72"/>
      <c r="D161" s="54">
        <v>152</v>
      </c>
      <c r="E161" s="70">
        <v>58351.91</v>
      </c>
      <c r="F161" s="75">
        <v>9777</v>
      </c>
      <c r="G161" s="75">
        <v>88327</v>
      </c>
      <c r="H161" s="194">
        <v>343364</v>
      </c>
      <c r="I161" s="194">
        <v>12791.44</v>
      </c>
      <c r="J161" s="75">
        <v>81753.173721494197</v>
      </c>
      <c r="K161" s="73"/>
      <c r="M161" s="72"/>
      <c r="N161" s="54">
        <v>152</v>
      </c>
      <c r="O161" s="70">
        <v>91518.612500000017</v>
      </c>
      <c r="P161" s="75">
        <v>12735</v>
      </c>
      <c r="Q161" s="75">
        <v>93544</v>
      </c>
      <c r="R161" s="194">
        <v>370416.46250000002</v>
      </c>
      <c r="S161" s="194">
        <v>6677.2</v>
      </c>
      <c r="T161" s="70">
        <v>1560.0375000000006</v>
      </c>
      <c r="U161" s="80">
        <v>81753.173721494197</v>
      </c>
      <c r="V161" s="73"/>
      <c r="X161" s="30"/>
      <c r="Y161" s="54">
        <v>152</v>
      </c>
      <c r="Z161" s="70">
        <v>60263.949999999975</v>
      </c>
      <c r="AA161" s="75">
        <v>9914</v>
      </c>
      <c r="AB161" s="75">
        <v>5291.4</v>
      </c>
      <c r="AC161" s="75">
        <v>82898.600000000006</v>
      </c>
      <c r="AD161" s="194">
        <v>339894.1</v>
      </c>
      <c r="AE161" s="194">
        <v>7409.5</v>
      </c>
      <c r="AF161" s="76">
        <v>0.06</v>
      </c>
      <c r="AG161" s="70">
        <v>3469.900000000001</v>
      </c>
      <c r="AH161" s="31"/>
    </row>
    <row r="162" spans="3:34" x14ac:dyDescent="0.25">
      <c r="C162" s="72"/>
      <c r="D162" s="54">
        <v>153</v>
      </c>
      <c r="E162" s="70">
        <v>58351.91</v>
      </c>
      <c r="F162" s="75">
        <v>7735</v>
      </c>
      <c r="G162" s="75">
        <v>90369</v>
      </c>
      <c r="H162" s="194">
        <v>343364</v>
      </c>
      <c r="I162" s="194">
        <v>12791.44</v>
      </c>
      <c r="J162" s="75">
        <v>81753.173721494197</v>
      </c>
      <c r="K162" s="73"/>
      <c r="M162" s="72"/>
      <c r="N162" s="54">
        <v>153</v>
      </c>
      <c r="O162" s="70">
        <v>35175.884999999987</v>
      </c>
      <c r="P162" s="75">
        <v>11794</v>
      </c>
      <c r="Q162" s="75">
        <v>78134</v>
      </c>
      <c r="R162" s="194">
        <v>313303.23499999999</v>
      </c>
      <c r="S162" s="194">
        <v>5906.7000000000007</v>
      </c>
      <c r="T162" s="70">
        <v>1444.7650000000006</v>
      </c>
      <c r="U162" s="80">
        <v>81753.173721494197</v>
      </c>
      <c r="V162" s="73"/>
      <c r="X162" s="30"/>
      <c r="Y162" s="54">
        <v>153</v>
      </c>
      <c r="Z162" s="70">
        <v>45170.650000000009</v>
      </c>
      <c r="AA162" s="75">
        <v>13213</v>
      </c>
      <c r="AB162" s="75">
        <v>5656.2100000000009</v>
      </c>
      <c r="AC162" s="75">
        <v>75146.789999999994</v>
      </c>
      <c r="AD162" s="194">
        <v>324431.45</v>
      </c>
      <c r="AE162" s="194">
        <v>7040.15</v>
      </c>
      <c r="AF162" s="76">
        <v>7.0000000000000007E-2</v>
      </c>
      <c r="AG162" s="70">
        <v>4624.5500000000011</v>
      </c>
      <c r="AH162" s="31"/>
    </row>
    <row r="163" spans="3:34" x14ac:dyDescent="0.25">
      <c r="C163" s="72"/>
      <c r="D163" s="54">
        <v>154</v>
      </c>
      <c r="E163" s="70">
        <v>86065.16</v>
      </c>
      <c r="F163" s="75">
        <v>10472</v>
      </c>
      <c r="G163" s="75">
        <v>95807</v>
      </c>
      <c r="H163" s="194">
        <v>371976.5</v>
      </c>
      <c r="I163" s="194">
        <v>13690.69</v>
      </c>
      <c r="J163" s="75">
        <v>81753.173721494197</v>
      </c>
      <c r="K163" s="73"/>
      <c r="M163" s="72"/>
      <c r="N163" s="54">
        <v>154</v>
      </c>
      <c r="O163" s="70">
        <v>35189.22500000002</v>
      </c>
      <c r="P163" s="75">
        <v>11610</v>
      </c>
      <c r="Q163" s="75">
        <v>78318</v>
      </c>
      <c r="R163" s="194">
        <v>313325.77500000002</v>
      </c>
      <c r="S163" s="194">
        <v>5915.9</v>
      </c>
      <c r="T163" s="70">
        <v>1422.2250000000006</v>
      </c>
      <c r="U163" s="80">
        <v>81753.173721494197</v>
      </c>
      <c r="V163" s="73"/>
      <c r="X163" s="30"/>
      <c r="Y163" s="54">
        <v>154</v>
      </c>
      <c r="Z163" s="70">
        <v>32058.849999999988</v>
      </c>
      <c r="AA163" s="75">
        <v>9907</v>
      </c>
      <c r="AB163" s="75">
        <v>8002.1</v>
      </c>
      <c r="AC163" s="75">
        <v>72018.899999999994</v>
      </c>
      <c r="AD163" s="194">
        <v>311280.55</v>
      </c>
      <c r="AE163" s="194">
        <v>7001.05</v>
      </c>
      <c r="AF163" s="76">
        <v>0.1</v>
      </c>
      <c r="AG163" s="70">
        <v>3467.4500000000007</v>
      </c>
      <c r="AH163" s="31"/>
    </row>
    <row r="164" spans="3:34" x14ac:dyDescent="0.25">
      <c r="C164" s="72"/>
      <c r="D164" s="54">
        <v>155</v>
      </c>
      <c r="E164" s="70">
        <v>86065.16</v>
      </c>
      <c r="F164" s="75">
        <v>6493</v>
      </c>
      <c r="G164" s="75">
        <v>99786</v>
      </c>
      <c r="H164" s="194">
        <v>371976.5</v>
      </c>
      <c r="I164" s="194">
        <v>13690.69</v>
      </c>
      <c r="J164" s="75">
        <v>81753.173721494197</v>
      </c>
      <c r="K164" s="73"/>
      <c r="M164" s="72"/>
      <c r="N164" s="54">
        <v>155</v>
      </c>
      <c r="O164" s="70">
        <v>49338.862500000003</v>
      </c>
      <c r="P164" s="75">
        <v>10975</v>
      </c>
      <c r="Q164" s="75">
        <v>83041</v>
      </c>
      <c r="R164" s="194">
        <v>327711.5625</v>
      </c>
      <c r="S164" s="194">
        <v>6152.05</v>
      </c>
      <c r="T164" s="70">
        <v>1344.4375000000007</v>
      </c>
      <c r="U164" s="80">
        <v>81753.173721494197</v>
      </c>
      <c r="V164" s="73"/>
      <c r="X164" s="30"/>
      <c r="Y164" s="54">
        <v>155</v>
      </c>
      <c r="Z164" s="70">
        <v>44933.349999999977</v>
      </c>
      <c r="AA164" s="75">
        <v>14004</v>
      </c>
      <c r="AB164" s="75">
        <v>7201.08</v>
      </c>
      <c r="AC164" s="75">
        <v>72810.92</v>
      </c>
      <c r="AD164" s="194">
        <v>324154.59999999998</v>
      </c>
      <c r="AE164" s="194">
        <v>7000.6</v>
      </c>
      <c r="AF164" s="76">
        <v>0.09</v>
      </c>
      <c r="AG164" s="70">
        <v>4901.4000000000015</v>
      </c>
      <c r="AH164" s="31"/>
    </row>
    <row r="165" spans="3:34" x14ac:dyDescent="0.25">
      <c r="C165" s="72"/>
      <c r="D165" s="54">
        <v>156</v>
      </c>
      <c r="E165" s="70">
        <v>30635.27</v>
      </c>
      <c r="F165" s="75">
        <v>4396</v>
      </c>
      <c r="G165" s="75">
        <v>85532</v>
      </c>
      <c r="H165" s="194">
        <v>314748</v>
      </c>
      <c r="I165" s="194">
        <v>11892.08</v>
      </c>
      <c r="J165" s="75">
        <v>81753.173721494197</v>
      </c>
      <c r="K165" s="73"/>
      <c r="M165" s="72"/>
      <c r="N165" s="54">
        <v>156</v>
      </c>
      <c r="O165" s="70">
        <v>35388.019999999982</v>
      </c>
      <c r="P165" s="75">
        <v>8868</v>
      </c>
      <c r="Q165" s="75">
        <v>81060</v>
      </c>
      <c r="R165" s="194">
        <v>313661.67</v>
      </c>
      <c r="S165" s="194">
        <v>6053</v>
      </c>
      <c r="T165" s="70">
        <v>1086.3300000000004</v>
      </c>
      <c r="U165" s="80">
        <v>81753.173721494197</v>
      </c>
      <c r="V165" s="73"/>
      <c r="X165" s="30"/>
      <c r="Y165" s="54">
        <v>156</v>
      </c>
      <c r="Z165" s="70">
        <v>31510.749999999978</v>
      </c>
      <c r="AA165" s="75">
        <v>11734</v>
      </c>
      <c r="AB165" s="75">
        <v>5473.5800000000008</v>
      </c>
      <c r="AC165" s="75">
        <v>72720.42</v>
      </c>
      <c r="AD165" s="194">
        <v>310641.09999999998</v>
      </c>
      <c r="AE165" s="194">
        <v>6909.7000000000007</v>
      </c>
      <c r="AF165" s="76">
        <v>7.0000000000000007E-2</v>
      </c>
      <c r="AG165" s="70">
        <v>4106.9000000000015</v>
      </c>
      <c r="AH165" s="31"/>
    </row>
    <row r="166" spans="3:34" x14ac:dyDescent="0.25">
      <c r="C166" s="72"/>
      <c r="D166" s="54">
        <v>157</v>
      </c>
      <c r="E166" s="70">
        <v>44493.59</v>
      </c>
      <c r="F166" s="75">
        <v>4689</v>
      </c>
      <c r="G166" s="75">
        <v>89327</v>
      </c>
      <c r="H166" s="194">
        <v>329056</v>
      </c>
      <c r="I166" s="194">
        <v>12341.76</v>
      </c>
      <c r="J166" s="75">
        <v>81753.173721494197</v>
      </c>
      <c r="K166" s="73"/>
      <c r="M166" s="72"/>
      <c r="N166" s="54">
        <v>157</v>
      </c>
      <c r="O166" s="70">
        <v>49453.412499999991</v>
      </c>
      <c r="P166" s="75">
        <v>9395</v>
      </c>
      <c r="Q166" s="75">
        <v>84621</v>
      </c>
      <c r="R166" s="194">
        <v>327905.11249999999</v>
      </c>
      <c r="S166" s="194">
        <v>6231.05</v>
      </c>
      <c r="T166" s="70">
        <v>1150.8875000000005</v>
      </c>
      <c r="U166" s="80">
        <v>81753.173721494197</v>
      </c>
      <c r="V166" s="73"/>
      <c r="X166" s="30"/>
      <c r="Y166" s="54">
        <v>157</v>
      </c>
      <c r="Z166" s="70">
        <v>32355.849999999988</v>
      </c>
      <c r="AA166" s="75">
        <v>8917</v>
      </c>
      <c r="AB166" s="75">
        <v>6480.88</v>
      </c>
      <c r="AC166" s="75">
        <v>74530.12</v>
      </c>
      <c r="AD166" s="194">
        <v>311627.05</v>
      </c>
      <c r="AE166" s="194">
        <v>7050.55</v>
      </c>
      <c r="AF166" s="76">
        <v>0.08</v>
      </c>
      <c r="AG166" s="70">
        <v>3120.9500000000007</v>
      </c>
      <c r="AH166" s="31"/>
    </row>
    <row r="167" spans="3:34" x14ac:dyDescent="0.25">
      <c r="C167" s="72"/>
      <c r="D167" s="54">
        <v>158</v>
      </c>
      <c r="E167" s="70">
        <v>44493.59</v>
      </c>
      <c r="F167" s="75">
        <v>6458</v>
      </c>
      <c r="G167" s="75">
        <v>87558</v>
      </c>
      <c r="H167" s="194">
        <v>329056</v>
      </c>
      <c r="I167" s="194">
        <v>12341.76</v>
      </c>
      <c r="J167" s="75">
        <v>81753.173721494197</v>
      </c>
      <c r="K167" s="73"/>
      <c r="M167" s="72"/>
      <c r="N167" s="54">
        <v>158</v>
      </c>
      <c r="O167" s="70">
        <v>49174.867500000029</v>
      </c>
      <c r="P167" s="75">
        <v>13237</v>
      </c>
      <c r="Q167" s="75">
        <v>80779</v>
      </c>
      <c r="R167" s="194">
        <v>327434.46750000003</v>
      </c>
      <c r="S167" s="194">
        <v>6038.9500000000007</v>
      </c>
      <c r="T167" s="70">
        <v>1621.5325000000007</v>
      </c>
      <c r="U167" s="80">
        <v>81753.173721494197</v>
      </c>
      <c r="V167" s="73"/>
      <c r="X167" s="30"/>
      <c r="Y167" s="54">
        <v>158</v>
      </c>
      <c r="Z167" s="70">
        <v>44886.250000000022</v>
      </c>
      <c r="AA167" s="75">
        <v>14161</v>
      </c>
      <c r="AB167" s="75">
        <v>7186.95</v>
      </c>
      <c r="AC167" s="75">
        <v>72668.05</v>
      </c>
      <c r="AD167" s="194">
        <v>324099.65000000002</v>
      </c>
      <c r="AE167" s="194">
        <v>6992.75</v>
      </c>
      <c r="AF167" s="76">
        <v>0.09</v>
      </c>
      <c r="AG167" s="70">
        <v>4956.3500000000013</v>
      </c>
      <c r="AH167" s="31"/>
    </row>
    <row r="168" spans="3:34" x14ac:dyDescent="0.25">
      <c r="C168" s="72"/>
      <c r="D168" s="54">
        <v>159</v>
      </c>
      <c r="E168" s="70">
        <v>58351.91</v>
      </c>
      <c r="F168" s="75">
        <v>6814</v>
      </c>
      <c r="G168" s="75">
        <v>91290</v>
      </c>
      <c r="H168" s="194">
        <v>343364</v>
      </c>
      <c r="I168" s="194">
        <v>12791.44</v>
      </c>
      <c r="J168" s="75">
        <v>81753.173721494197</v>
      </c>
      <c r="K168" s="73"/>
      <c r="M168" s="72"/>
      <c r="N168" s="54">
        <v>159</v>
      </c>
      <c r="O168" s="70">
        <v>63175.80750000001</v>
      </c>
      <c r="P168" s="75">
        <v>14653</v>
      </c>
      <c r="Q168" s="75">
        <v>83451</v>
      </c>
      <c r="R168" s="194">
        <v>341569.00750000001</v>
      </c>
      <c r="S168" s="194">
        <v>6172.55</v>
      </c>
      <c r="T168" s="70">
        <v>1794.9925000000007</v>
      </c>
      <c r="U168" s="80">
        <v>81753.173721494197</v>
      </c>
      <c r="V168" s="73"/>
      <c r="X168" s="30"/>
      <c r="Y168" s="54">
        <v>159</v>
      </c>
      <c r="Z168" s="70">
        <v>58716.250000000015</v>
      </c>
      <c r="AA168" s="75">
        <v>15073</v>
      </c>
      <c r="AB168" s="75">
        <v>6642.4800000000005</v>
      </c>
      <c r="AC168" s="75">
        <v>76388.52</v>
      </c>
      <c r="AD168" s="194">
        <v>338088.45</v>
      </c>
      <c r="AE168" s="194">
        <v>7151.55</v>
      </c>
      <c r="AF168" s="76">
        <v>0.08</v>
      </c>
      <c r="AG168" s="70">
        <v>5275.5500000000011</v>
      </c>
      <c r="AH168" s="31"/>
    </row>
    <row r="169" spans="3:34" x14ac:dyDescent="0.25">
      <c r="C169" s="72"/>
      <c r="D169" s="54">
        <v>160</v>
      </c>
      <c r="E169" s="70">
        <v>44493.59</v>
      </c>
      <c r="F169" s="75">
        <v>4761</v>
      </c>
      <c r="G169" s="75">
        <v>89255</v>
      </c>
      <c r="H169" s="194">
        <v>329056</v>
      </c>
      <c r="I169" s="194">
        <v>12341.76</v>
      </c>
      <c r="J169" s="75">
        <v>81753.173721494197</v>
      </c>
      <c r="K169" s="73"/>
      <c r="M169" s="72"/>
      <c r="N169" s="54">
        <v>160</v>
      </c>
      <c r="O169" s="70">
        <v>35256.214999999967</v>
      </c>
      <c r="P169" s="75">
        <v>10686</v>
      </c>
      <c r="Q169" s="75">
        <v>79242</v>
      </c>
      <c r="R169" s="194">
        <v>313438.96499999997</v>
      </c>
      <c r="S169" s="194">
        <v>5962.1</v>
      </c>
      <c r="T169" s="70">
        <v>1309.0350000000005</v>
      </c>
      <c r="U169" s="80">
        <v>81753.173721494197</v>
      </c>
      <c r="V169" s="73"/>
      <c r="X169" s="30"/>
      <c r="Y169" s="54">
        <v>160</v>
      </c>
      <c r="Z169" s="70">
        <v>59080.15</v>
      </c>
      <c r="AA169" s="75">
        <v>13860</v>
      </c>
      <c r="AB169" s="75">
        <v>5054.6399999999994</v>
      </c>
      <c r="AC169" s="75">
        <v>79189.36</v>
      </c>
      <c r="AD169" s="194">
        <v>338513</v>
      </c>
      <c r="AE169" s="194">
        <v>7212.2</v>
      </c>
      <c r="AF169" s="76">
        <v>0.06</v>
      </c>
      <c r="AG169" s="70">
        <v>4851.0000000000009</v>
      </c>
      <c r="AH169" s="31"/>
    </row>
    <row r="170" spans="3:34" x14ac:dyDescent="0.25">
      <c r="C170" s="72"/>
      <c r="D170" s="54">
        <v>161</v>
      </c>
      <c r="E170" s="70">
        <v>30635.27</v>
      </c>
      <c r="F170" s="75">
        <v>8962</v>
      </c>
      <c r="G170" s="75">
        <v>80966</v>
      </c>
      <c r="H170" s="194">
        <v>314748</v>
      </c>
      <c r="I170" s="194">
        <v>11892.08</v>
      </c>
      <c r="J170" s="75">
        <v>81753.173721494197</v>
      </c>
      <c r="K170" s="73"/>
      <c r="M170" s="72"/>
      <c r="N170" s="54">
        <v>161</v>
      </c>
      <c r="O170" s="70">
        <v>49306.672499999986</v>
      </c>
      <c r="P170" s="75">
        <v>11419</v>
      </c>
      <c r="Q170" s="75">
        <v>82597</v>
      </c>
      <c r="R170" s="194">
        <v>327657.17249999999</v>
      </c>
      <c r="S170" s="194">
        <v>6129.85</v>
      </c>
      <c r="T170" s="70">
        <v>1398.8275000000006</v>
      </c>
      <c r="U170" s="80">
        <v>81753.173721494197</v>
      </c>
      <c r="V170" s="73"/>
      <c r="X170" s="30"/>
      <c r="Y170" s="54">
        <v>161</v>
      </c>
      <c r="Z170" s="70">
        <v>46298.650000000009</v>
      </c>
      <c r="AA170" s="75">
        <v>9453</v>
      </c>
      <c r="AB170" s="75">
        <v>5919.4100000000008</v>
      </c>
      <c r="AC170" s="75">
        <v>78643.59</v>
      </c>
      <c r="AD170" s="194">
        <v>325747.45</v>
      </c>
      <c r="AE170" s="194">
        <v>7228.1500000000005</v>
      </c>
      <c r="AF170" s="76">
        <v>7.0000000000000007E-2</v>
      </c>
      <c r="AG170" s="70">
        <v>3308.5500000000006</v>
      </c>
      <c r="AH170" s="31"/>
    </row>
    <row r="171" spans="3:34" x14ac:dyDescent="0.25">
      <c r="C171" s="72"/>
      <c r="D171" s="54">
        <v>162</v>
      </c>
      <c r="E171" s="70">
        <v>30635.27</v>
      </c>
      <c r="F171" s="75">
        <v>8178</v>
      </c>
      <c r="G171" s="75">
        <v>81750</v>
      </c>
      <c r="H171" s="194">
        <v>314748</v>
      </c>
      <c r="I171" s="194">
        <v>11892.08</v>
      </c>
      <c r="J171" s="75">
        <v>81753.173721494197</v>
      </c>
      <c r="K171" s="73"/>
      <c r="M171" s="72"/>
      <c r="N171" s="54">
        <v>162</v>
      </c>
      <c r="O171" s="70">
        <v>35115.057500000017</v>
      </c>
      <c r="P171" s="75">
        <v>12633</v>
      </c>
      <c r="Q171" s="75">
        <v>77295</v>
      </c>
      <c r="R171" s="194">
        <v>313200.45750000002</v>
      </c>
      <c r="S171" s="194">
        <v>5864.75</v>
      </c>
      <c r="T171" s="70">
        <v>1547.5425000000007</v>
      </c>
      <c r="U171" s="80">
        <v>81753.173721494197</v>
      </c>
      <c r="V171" s="73"/>
      <c r="X171" s="30"/>
      <c r="Y171" s="54">
        <v>162</v>
      </c>
      <c r="Z171" s="70">
        <v>59391.85000000002</v>
      </c>
      <c r="AA171" s="75">
        <v>12821</v>
      </c>
      <c r="AB171" s="75">
        <v>6822.64</v>
      </c>
      <c r="AC171" s="75">
        <v>78460.36</v>
      </c>
      <c r="AD171" s="194">
        <v>338876.65</v>
      </c>
      <c r="AE171" s="194">
        <v>7264.1500000000005</v>
      </c>
      <c r="AF171" s="76">
        <v>0.08</v>
      </c>
      <c r="AG171" s="70">
        <v>4487.3500000000013</v>
      </c>
      <c r="AH171" s="31"/>
    </row>
    <row r="172" spans="3:34" x14ac:dyDescent="0.25">
      <c r="C172" s="72"/>
      <c r="D172" s="54">
        <v>163</v>
      </c>
      <c r="E172" s="70">
        <v>58351.91</v>
      </c>
      <c r="F172" s="75">
        <v>9808</v>
      </c>
      <c r="G172" s="75">
        <v>88296</v>
      </c>
      <c r="H172" s="194">
        <v>343364</v>
      </c>
      <c r="I172" s="194">
        <v>12791.44</v>
      </c>
      <c r="J172" s="75">
        <v>81753.173721494197</v>
      </c>
      <c r="K172" s="73"/>
      <c r="M172" s="72"/>
      <c r="N172" s="54">
        <v>163</v>
      </c>
      <c r="O172" s="70">
        <v>49455.079999999994</v>
      </c>
      <c r="P172" s="75">
        <v>9372</v>
      </c>
      <c r="Q172" s="75">
        <v>84644</v>
      </c>
      <c r="R172" s="194">
        <v>327907.93</v>
      </c>
      <c r="S172" s="194">
        <v>6232.2</v>
      </c>
      <c r="T172" s="70">
        <v>1148.0700000000004</v>
      </c>
      <c r="U172" s="80">
        <v>81753.173721494197</v>
      </c>
      <c r="V172" s="73"/>
      <c r="X172" s="30"/>
      <c r="Y172" s="54">
        <v>163</v>
      </c>
      <c r="Z172" s="70">
        <v>44896.150000000009</v>
      </c>
      <c r="AA172" s="75">
        <v>14128</v>
      </c>
      <c r="AB172" s="75">
        <v>4793.28</v>
      </c>
      <c r="AC172" s="75">
        <v>75094.720000000001</v>
      </c>
      <c r="AD172" s="194">
        <v>324111.2</v>
      </c>
      <c r="AE172" s="194">
        <v>6994.4</v>
      </c>
      <c r="AF172" s="76">
        <v>0.06</v>
      </c>
      <c r="AG172" s="70">
        <v>4944.8000000000011</v>
      </c>
      <c r="AH172" s="31"/>
    </row>
    <row r="173" spans="3:34" x14ac:dyDescent="0.25">
      <c r="C173" s="72"/>
      <c r="D173" s="54">
        <v>164</v>
      </c>
      <c r="E173" s="70">
        <v>44493.59</v>
      </c>
      <c r="F173" s="75">
        <v>4702</v>
      </c>
      <c r="G173" s="75">
        <v>89314</v>
      </c>
      <c r="H173" s="194">
        <v>329056</v>
      </c>
      <c r="I173" s="194">
        <v>12341.76</v>
      </c>
      <c r="J173" s="75">
        <v>81753.173721494197</v>
      </c>
      <c r="K173" s="73"/>
      <c r="M173" s="72"/>
      <c r="N173" s="54">
        <v>164</v>
      </c>
      <c r="O173" s="70">
        <v>49388.307499999981</v>
      </c>
      <c r="P173" s="75">
        <v>10293</v>
      </c>
      <c r="Q173" s="75">
        <v>83723</v>
      </c>
      <c r="R173" s="194">
        <v>327795.10749999998</v>
      </c>
      <c r="S173" s="194">
        <v>6186.1500000000005</v>
      </c>
      <c r="T173" s="70">
        <v>1260.8925000000006</v>
      </c>
      <c r="U173" s="80">
        <v>81753.173721494197</v>
      </c>
      <c r="V173" s="73"/>
      <c r="X173" s="30"/>
      <c r="Y173" s="54">
        <v>164</v>
      </c>
      <c r="Z173" s="70">
        <v>45193.150000000009</v>
      </c>
      <c r="AA173" s="75">
        <v>13138</v>
      </c>
      <c r="AB173" s="75">
        <v>4852.6799999999994</v>
      </c>
      <c r="AC173" s="75">
        <v>76025.320000000007</v>
      </c>
      <c r="AD173" s="194">
        <v>324457.7</v>
      </c>
      <c r="AE173" s="194">
        <v>7043.9</v>
      </c>
      <c r="AF173" s="76">
        <v>0.06</v>
      </c>
      <c r="AG173" s="70">
        <v>4598.3000000000011</v>
      </c>
      <c r="AH173" s="31"/>
    </row>
    <row r="174" spans="3:34" x14ac:dyDescent="0.25">
      <c r="C174" s="72"/>
      <c r="D174" s="54">
        <v>165</v>
      </c>
      <c r="E174" s="70">
        <v>58351.91</v>
      </c>
      <c r="F174" s="75">
        <v>7845</v>
      </c>
      <c r="G174" s="75">
        <v>90259</v>
      </c>
      <c r="H174" s="194">
        <v>343364</v>
      </c>
      <c r="I174" s="194">
        <v>12791.44</v>
      </c>
      <c r="J174" s="75">
        <v>81753.173721494197</v>
      </c>
      <c r="K174" s="73"/>
      <c r="M174" s="72"/>
      <c r="N174" s="54">
        <v>165</v>
      </c>
      <c r="O174" s="70">
        <v>49256.937500000015</v>
      </c>
      <c r="P174" s="75">
        <v>12105</v>
      </c>
      <c r="Q174" s="75">
        <v>81911</v>
      </c>
      <c r="R174" s="194">
        <v>327573.13750000001</v>
      </c>
      <c r="S174" s="194">
        <v>6095.55</v>
      </c>
      <c r="T174" s="70">
        <v>1482.8625000000006</v>
      </c>
      <c r="U174" s="80">
        <v>81753.173721494197</v>
      </c>
      <c r="V174" s="73"/>
      <c r="X174" s="30"/>
      <c r="Y174" s="54">
        <v>165</v>
      </c>
      <c r="Z174" s="70">
        <v>87930.10000000002</v>
      </c>
      <c r="AA174" s="75">
        <v>11706</v>
      </c>
      <c r="AB174" s="75">
        <v>8511.57</v>
      </c>
      <c r="AC174" s="75">
        <v>86061.43</v>
      </c>
      <c r="AD174" s="194">
        <v>367879.4</v>
      </c>
      <c r="AE174" s="194">
        <v>7728.6500000000005</v>
      </c>
      <c r="AF174" s="76">
        <v>0.09</v>
      </c>
      <c r="AG174" s="70">
        <v>4097.1000000000013</v>
      </c>
      <c r="AH174" s="31"/>
    </row>
    <row r="175" spans="3:34" x14ac:dyDescent="0.25">
      <c r="C175" s="72"/>
      <c r="D175" s="54">
        <v>166</v>
      </c>
      <c r="E175" s="70">
        <v>44493.59</v>
      </c>
      <c r="F175" s="75">
        <v>4704</v>
      </c>
      <c r="G175" s="75">
        <v>89312</v>
      </c>
      <c r="H175" s="194">
        <v>329056</v>
      </c>
      <c r="I175" s="194">
        <v>12341.76</v>
      </c>
      <c r="J175" s="75">
        <v>81753.173721494197</v>
      </c>
      <c r="K175" s="73"/>
      <c r="M175" s="72"/>
      <c r="N175" s="54">
        <v>166</v>
      </c>
      <c r="O175" s="70">
        <v>91515.64</v>
      </c>
      <c r="P175" s="75">
        <v>12776</v>
      </c>
      <c r="Q175" s="75">
        <v>93503</v>
      </c>
      <c r="R175" s="194">
        <v>370411.44</v>
      </c>
      <c r="S175" s="194">
        <v>6675.1500000000005</v>
      </c>
      <c r="T175" s="70">
        <v>1565.0600000000006</v>
      </c>
      <c r="U175" s="80">
        <v>81753.173721494197</v>
      </c>
      <c r="V175" s="73"/>
      <c r="X175" s="30"/>
      <c r="Y175" s="54">
        <v>166</v>
      </c>
      <c r="Z175" s="70">
        <v>46294.150000000009</v>
      </c>
      <c r="AA175" s="75">
        <v>9468</v>
      </c>
      <c r="AB175" s="75">
        <v>5918.3600000000006</v>
      </c>
      <c r="AC175" s="75">
        <v>78629.64</v>
      </c>
      <c r="AD175" s="194">
        <v>325742.2</v>
      </c>
      <c r="AE175" s="194">
        <v>7227.4000000000005</v>
      </c>
      <c r="AF175" s="76">
        <v>7.0000000000000007E-2</v>
      </c>
      <c r="AG175" s="70">
        <v>3313.8000000000006</v>
      </c>
      <c r="AH175" s="31"/>
    </row>
    <row r="176" spans="3:34" x14ac:dyDescent="0.25">
      <c r="C176" s="72"/>
      <c r="D176" s="54">
        <v>167</v>
      </c>
      <c r="E176" s="70">
        <v>86065.16</v>
      </c>
      <c r="F176" s="75">
        <v>6307</v>
      </c>
      <c r="G176" s="75">
        <v>99972</v>
      </c>
      <c r="H176" s="194">
        <v>371976.5</v>
      </c>
      <c r="I176" s="194">
        <v>13690.69</v>
      </c>
      <c r="J176" s="75">
        <v>81753.173721494197</v>
      </c>
      <c r="K176" s="73"/>
      <c r="M176" s="72"/>
      <c r="N176" s="54">
        <v>167</v>
      </c>
      <c r="O176" s="70">
        <v>91276.027500000011</v>
      </c>
      <c r="P176" s="75">
        <v>16081</v>
      </c>
      <c r="Q176" s="75">
        <v>90198</v>
      </c>
      <c r="R176" s="194">
        <v>370006.57750000001</v>
      </c>
      <c r="S176" s="194">
        <v>6509.9000000000005</v>
      </c>
      <c r="T176" s="70">
        <v>1969.9225000000008</v>
      </c>
      <c r="U176" s="80">
        <v>81753.173721494197</v>
      </c>
      <c r="V176" s="73"/>
      <c r="X176" s="30"/>
      <c r="Y176" s="54">
        <v>167</v>
      </c>
      <c r="Z176" s="70">
        <v>87675.4</v>
      </c>
      <c r="AA176" s="75">
        <v>12555</v>
      </c>
      <c r="AB176" s="75">
        <v>5623.44</v>
      </c>
      <c r="AC176" s="75">
        <v>88100.56</v>
      </c>
      <c r="AD176" s="194">
        <v>367582.25</v>
      </c>
      <c r="AE176" s="194">
        <v>7686.2</v>
      </c>
      <c r="AF176" s="76">
        <v>0.06</v>
      </c>
      <c r="AG176" s="70">
        <v>4394.2500000000009</v>
      </c>
      <c r="AH176" s="31"/>
    </row>
    <row r="177" spans="3:34" x14ac:dyDescent="0.25">
      <c r="C177" s="72"/>
      <c r="D177" s="54">
        <v>168</v>
      </c>
      <c r="E177" s="70">
        <v>44493.59</v>
      </c>
      <c r="F177" s="75">
        <v>8555</v>
      </c>
      <c r="G177" s="75">
        <v>85461</v>
      </c>
      <c r="H177" s="194">
        <v>329056</v>
      </c>
      <c r="I177" s="194">
        <v>12341.76</v>
      </c>
      <c r="J177" s="75">
        <v>81753.173721494197</v>
      </c>
      <c r="K177" s="73"/>
      <c r="M177" s="72"/>
      <c r="N177" s="54">
        <v>168</v>
      </c>
      <c r="O177" s="70">
        <v>35172.694999999971</v>
      </c>
      <c r="P177" s="75">
        <v>11838</v>
      </c>
      <c r="Q177" s="75">
        <v>78090</v>
      </c>
      <c r="R177" s="194">
        <v>313297.84499999997</v>
      </c>
      <c r="S177" s="194">
        <v>5904.5</v>
      </c>
      <c r="T177" s="70">
        <v>1450.1550000000007</v>
      </c>
      <c r="U177" s="80">
        <v>81753.173721494197</v>
      </c>
      <c r="V177" s="73"/>
      <c r="X177" s="30"/>
      <c r="Y177" s="54">
        <v>168</v>
      </c>
      <c r="Z177" s="70">
        <v>86651.799999999988</v>
      </c>
      <c r="AA177" s="75">
        <v>15967</v>
      </c>
      <c r="AB177" s="75">
        <v>4515.6000000000004</v>
      </c>
      <c r="AC177" s="75">
        <v>85796.4</v>
      </c>
      <c r="AD177" s="194">
        <v>366388.05</v>
      </c>
      <c r="AE177" s="194">
        <v>7515.6</v>
      </c>
      <c r="AF177" s="76">
        <v>0.05</v>
      </c>
      <c r="AG177" s="70">
        <v>5588.4500000000016</v>
      </c>
      <c r="AH177" s="31"/>
    </row>
    <row r="178" spans="3:34" x14ac:dyDescent="0.25">
      <c r="C178" s="72"/>
      <c r="D178" s="54">
        <v>169</v>
      </c>
      <c r="E178" s="70">
        <v>86065.16</v>
      </c>
      <c r="F178" s="75">
        <v>8418</v>
      </c>
      <c r="G178" s="75">
        <v>97861</v>
      </c>
      <c r="H178" s="194">
        <v>371976.5</v>
      </c>
      <c r="I178" s="194">
        <v>13690.69</v>
      </c>
      <c r="J178" s="75">
        <v>81753.173721494197</v>
      </c>
      <c r="K178" s="73"/>
      <c r="M178" s="72"/>
      <c r="N178" s="54">
        <v>169</v>
      </c>
      <c r="O178" s="70">
        <v>49390.409999999974</v>
      </c>
      <c r="P178" s="75">
        <v>10264</v>
      </c>
      <c r="Q178" s="75">
        <v>83752</v>
      </c>
      <c r="R178" s="194">
        <v>327798.65999999997</v>
      </c>
      <c r="S178" s="194">
        <v>6187.6</v>
      </c>
      <c r="T178" s="70">
        <v>1257.3400000000006</v>
      </c>
      <c r="U178" s="80">
        <v>81753.173721494197</v>
      </c>
      <c r="V178" s="73"/>
      <c r="X178" s="30"/>
      <c r="Y178" s="54">
        <v>169</v>
      </c>
      <c r="Z178" s="70">
        <v>46295.650000000009</v>
      </c>
      <c r="AA178" s="75">
        <v>9463</v>
      </c>
      <c r="AB178" s="75">
        <v>4227.6500000000005</v>
      </c>
      <c r="AC178" s="75">
        <v>80325.350000000006</v>
      </c>
      <c r="AD178" s="194">
        <v>325743.95</v>
      </c>
      <c r="AE178" s="194">
        <v>7227.6500000000005</v>
      </c>
      <c r="AF178" s="76">
        <v>0.05</v>
      </c>
      <c r="AG178" s="70">
        <v>3312.0500000000006</v>
      </c>
      <c r="AH178" s="31"/>
    </row>
    <row r="179" spans="3:34" x14ac:dyDescent="0.25">
      <c r="C179" s="72"/>
      <c r="D179" s="54">
        <v>170</v>
      </c>
      <c r="E179" s="70">
        <v>58351.91</v>
      </c>
      <c r="F179" s="75">
        <v>6820</v>
      </c>
      <c r="G179" s="75">
        <v>91284</v>
      </c>
      <c r="H179" s="194">
        <v>343364</v>
      </c>
      <c r="I179" s="194">
        <v>12791.44</v>
      </c>
      <c r="J179" s="75">
        <v>81753.173721494197</v>
      </c>
      <c r="K179" s="73"/>
      <c r="M179" s="72"/>
      <c r="N179" s="54">
        <v>170</v>
      </c>
      <c r="O179" s="70">
        <v>49101.569999999992</v>
      </c>
      <c r="P179" s="75">
        <v>14248</v>
      </c>
      <c r="Q179" s="75">
        <v>79768</v>
      </c>
      <c r="R179" s="194">
        <v>327310.62</v>
      </c>
      <c r="S179" s="194">
        <v>5988.4</v>
      </c>
      <c r="T179" s="70">
        <v>1745.3800000000008</v>
      </c>
      <c r="U179" s="80">
        <v>81753.173721494197</v>
      </c>
      <c r="V179" s="73"/>
      <c r="X179" s="30"/>
      <c r="Y179" s="54">
        <v>170</v>
      </c>
      <c r="Z179" s="70">
        <v>59361.549999999988</v>
      </c>
      <c r="AA179" s="75">
        <v>12922</v>
      </c>
      <c r="AB179" s="75">
        <v>5962.7400000000007</v>
      </c>
      <c r="AC179" s="75">
        <v>79219.259999999995</v>
      </c>
      <c r="AD179" s="194">
        <v>338841.3</v>
      </c>
      <c r="AE179" s="194">
        <v>7259.1</v>
      </c>
      <c r="AF179" s="76">
        <v>7.0000000000000007E-2</v>
      </c>
      <c r="AG179" s="70">
        <v>4522.7000000000007</v>
      </c>
      <c r="AH179" s="31"/>
    </row>
    <row r="180" spans="3:34" x14ac:dyDescent="0.25">
      <c r="C180" s="72"/>
      <c r="D180" s="54">
        <v>171</v>
      </c>
      <c r="E180" s="70">
        <v>30635.27</v>
      </c>
      <c r="F180" s="75">
        <v>5320</v>
      </c>
      <c r="G180" s="75">
        <v>84608</v>
      </c>
      <c r="H180" s="194">
        <v>314748</v>
      </c>
      <c r="I180" s="194">
        <v>11892.08</v>
      </c>
      <c r="J180" s="75">
        <v>81753.173721494197</v>
      </c>
      <c r="K180" s="73"/>
      <c r="M180" s="72"/>
      <c r="N180" s="54">
        <v>171</v>
      </c>
      <c r="O180" s="70">
        <v>49387.872499999998</v>
      </c>
      <c r="P180" s="75">
        <v>10299</v>
      </c>
      <c r="Q180" s="75">
        <v>83717</v>
      </c>
      <c r="R180" s="194">
        <v>327794.3725</v>
      </c>
      <c r="S180" s="194">
        <v>6185.85</v>
      </c>
      <c r="T180" s="70">
        <v>1261.6275000000005</v>
      </c>
      <c r="U180" s="80">
        <v>81753.173721494197</v>
      </c>
      <c r="V180" s="73"/>
      <c r="X180" s="30"/>
      <c r="Y180" s="54">
        <v>171</v>
      </c>
      <c r="Z180" s="70">
        <v>32058.55000000001</v>
      </c>
      <c r="AA180" s="75">
        <v>9908</v>
      </c>
      <c r="AB180" s="75">
        <v>6401.6</v>
      </c>
      <c r="AC180" s="75">
        <v>73618.399999999994</v>
      </c>
      <c r="AD180" s="194">
        <v>311280.2</v>
      </c>
      <c r="AE180" s="194">
        <v>7001</v>
      </c>
      <c r="AF180" s="76">
        <v>0.08</v>
      </c>
      <c r="AG180" s="70">
        <v>3467.8000000000011</v>
      </c>
      <c r="AH180" s="31"/>
    </row>
    <row r="181" spans="3:34" x14ac:dyDescent="0.25">
      <c r="C181" s="72"/>
      <c r="D181" s="54">
        <v>172</v>
      </c>
      <c r="E181" s="70">
        <v>30635.27</v>
      </c>
      <c r="F181" s="75">
        <v>7140</v>
      </c>
      <c r="G181" s="75">
        <v>82788</v>
      </c>
      <c r="H181" s="194">
        <v>314748</v>
      </c>
      <c r="I181" s="194">
        <v>11892.08</v>
      </c>
      <c r="J181" s="75">
        <v>81753.173721494197</v>
      </c>
      <c r="K181" s="73"/>
      <c r="M181" s="72"/>
      <c r="N181" s="54">
        <v>172</v>
      </c>
      <c r="O181" s="70">
        <v>63312.977499999964</v>
      </c>
      <c r="P181" s="75">
        <v>12761</v>
      </c>
      <c r="Q181" s="75">
        <v>85343</v>
      </c>
      <c r="R181" s="194">
        <v>341800.77749999997</v>
      </c>
      <c r="S181" s="194">
        <v>6267.1500000000005</v>
      </c>
      <c r="T181" s="70">
        <v>1563.2225000000008</v>
      </c>
      <c r="U181" s="80">
        <v>81753.173721494197</v>
      </c>
      <c r="V181" s="73"/>
      <c r="X181" s="30"/>
      <c r="Y181" s="54">
        <v>172</v>
      </c>
      <c r="Z181" s="70">
        <v>46325.349999999977</v>
      </c>
      <c r="AA181" s="75">
        <v>9364</v>
      </c>
      <c r="AB181" s="75">
        <v>5079.12</v>
      </c>
      <c r="AC181" s="75">
        <v>79572.88</v>
      </c>
      <c r="AD181" s="194">
        <v>325778.59999999998</v>
      </c>
      <c r="AE181" s="194">
        <v>7232.6</v>
      </c>
      <c r="AF181" s="76">
        <v>0.06</v>
      </c>
      <c r="AG181" s="70">
        <v>3277.400000000001</v>
      </c>
      <c r="AH181" s="31"/>
    </row>
    <row r="182" spans="3:34" x14ac:dyDescent="0.25">
      <c r="C182" s="72"/>
      <c r="D182" s="54">
        <v>173</v>
      </c>
      <c r="E182" s="70">
        <v>58351.91</v>
      </c>
      <c r="F182" s="75">
        <v>4958</v>
      </c>
      <c r="G182" s="75">
        <v>93146</v>
      </c>
      <c r="H182" s="194">
        <v>343364</v>
      </c>
      <c r="I182" s="194">
        <v>12791.44</v>
      </c>
      <c r="J182" s="75">
        <v>81753.173721494197</v>
      </c>
      <c r="K182" s="73"/>
      <c r="M182" s="72"/>
      <c r="N182" s="54">
        <v>173</v>
      </c>
      <c r="O182" s="70">
        <v>63458.55750000001</v>
      </c>
      <c r="P182" s="75">
        <v>10753</v>
      </c>
      <c r="Q182" s="75">
        <v>87351</v>
      </c>
      <c r="R182" s="194">
        <v>342046.75750000001</v>
      </c>
      <c r="S182" s="194">
        <v>6367.55</v>
      </c>
      <c r="T182" s="70">
        <v>1317.2425000000005</v>
      </c>
      <c r="U182" s="80">
        <v>81753.173721494197</v>
      </c>
      <c r="V182" s="73"/>
      <c r="X182" s="30"/>
      <c r="Y182" s="54">
        <v>173</v>
      </c>
      <c r="Z182" s="70">
        <v>59435.65</v>
      </c>
      <c r="AA182" s="75">
        <v>12675</v>
      </c>
      <c r="AB182" s="75">
        <v>6834.32</v>
      </c>
      <c r="AC182" s="75">
        <v>78594.679999999993</v>
      </c>
      <c r="AD182" s="194">
        <v>338927.75</v>
      </c>
      <c r="AE182" s="194">
        <v>7271.45</v>
      </c>
      <c r="AF182" s="76">
        <v>0.08</v>
      </c>
      <c r="AG182" s="70">
        <v>4436.2500000000009</v>
      </c>
      <c r="AH182" s="31"/>
    </row>
    <row r="183" spans="3:34" x14ac:dyDescent="0.25">
      <c r="C183" s="72"/>
      <c r="D183" s="54">
        <v>174</v>
      </c>
      <c r="E183" s="70">
        <v>58351.91</v>
      </c>
      <c r="F183" s="75">
        <v>7922</v>
      </c>
      <c r="G183" s="75">
        <v>90182</v>
      </c>
      <c r="H183" s="194">
        <v>343364</v>
      </c>
      <c r="I183" s="194">
        <v>12791.44</v>
      </c>
      <c r="J183" s="75">
        <v>81753.173721494197</v>
      </c>
      <c r="K183" s="73"/>
      <c r="M183" s="72"/>
      <c r="N183" s="54">
        <v>174</v>
      </c>
      <c r="O183" s="70">
        <v>49321.607499999969</v>
      </c>
      <c r="P183" s="75">
        <v>11213</v>
      </c>
      <c r="Q183" s="75">
        <v>82803</v>
      </c>
      <c r="R183" s="194">
        <v>327682.40749999997</v>
      </c>
      <c r="S183" s="194">
        <v>6140.1500000000005</v>
      </c>
      <c r="T183" s="70">
        <v>1373.5925000000007</v>
      </c>
      <c r="U183" s="80">
        <v>81753.173721494197</v>
      </c>
      <c r="V183" s="73"/>
      <c r="X183" s="30"/>
      <c r="Y183" s="54">
        <v>174</v>
      </c>
      <c r="Z183" s="70">
        <v>59416.449999999975</v>
      </c>
      <c r="AA183" s="75">
        <v>12739</v>
      </c>
      <c r="AB183" s="75">
        <v>7682.8499999999995</v>
      </c>
      <c r="AC183" s="75">
        <v>77682.149999999994</v>
      </c>
      <c r="AD183" s="194">
        <v>338905.35</v>
      </c>
      <c r="AE183" s="194">
        <v>7268.25</v>
      </c>
      <c r="AF183" s="76">
        <v>0.09</v>
      </c>
      <c r="AG183" s="70">
        <v>4458.6500000000015</v>
      </c>
      <c r="AH183" s="31"/>
    </row>
    <row r="184" spans="3:34" x14ac:dyDescent="0.25">
      <c r="C184" s="72"/>
      <c r="D184" s="54">
        <v>175</v>
      </c>
      <c r="E184" s="70">
        <v>44493.59</v>
      </c>
      <c r="F184" s="75">
        <v>6526</v>
      </c>
      <c r="G184" s="75">
        <v>87490</v>
      </c>
      <c r="H184" s="194">
        <v>329056</v>
      </c>
      <c r="I184" s="194">
        <v>12341.76</v>
      </c>
      <c r="J184" s="75">
        <v>81753.173721494197</v>
      </c>
      <c r="K184" s="73"/>
      <c r="M184" s="72"/>
      <c r="N184" s="54">
        <v>175</v>
      </c>
      <c r="O184" s="70">
        <v>35312.330000000031</v>
      </c>
      <c r="P184" s="75">
        <v>9912</v>
      </c>
      <c r="Q184" s="75">
        <v>80016</v>
      </c>
      <c r="R184" s="194">
        <v>313533.78000000003</v>
      </c>
      <c r="S184" s="194">
        <v>6000.8</v>
      </c>
      <c r="T184" s="70">
        <v>1214.2200000000005</v>
      </c>
      <c r="U184" s="80">
        <v>81753.173721494197</v>
      </c>
      <c r="V184" s="73"/>
      <c r="X184" s="30"/>
      <c r="Y184" s="54">
        <v>175</v>
      </c>
      <c r="Z184" s="70">
        <v>59382.250000000015</v>
      </c>
      <c r="AA184" s="75">
        <v>12853</v>
      </c>
      <c r="AB184" s="75">
        <v>7672.59</v>
      </c>
      <c r="AC184" s="75">
        <v>77578.41</v>
      </c>
      <c r="AD184" s="194">
        <v>338865.45</v>
      </c>
      <c r="AE184" s="194">
        <v>7262.55</v>
      </c>
      <c r="AF184" s="76">
        <v>0.09</v>
      </c>
      <c r="AG184" s="70">
        <v>4498.5500000000011</v>
      </c>
      <c r="AH184" s="31"/>
    </row>
    <row r="185" spans="3:34" x14ac:dyDescent="0.25">
      <c r="C185" s="72"/>
      <c r="D185" s="54">
        <v>176</v>
      </c>
      <c r="E185" s="70">
        <v>44493.59</v>
      </c>
      <c r="F185" s="75">
        <v>5547</v>
      </c>
      <c r="G185" s="75">
        <v>88469</v>
      </c>
      <c r="H185" s="194">
        <v>329056</v>
      </c>
      <c r="I185" s="194">
        <v>12341.76</v>
      </c>
      <c r="J185" s="75">
        <v>81753.173721494197</v>
      </c>
      <c r="K185" s="73"/>
      <c r="M185" s="72"/>
      <c r="N185" s="54">
        <v>176</v>
      </c>
      <c r="O185" s="70">
        <v>35050.967499999984</v>
      </c>
      <c r="P185" s="75">
        <v>13517</v>
      </c>
      <c r="Q185" s="75">
        <v>76411</v>
      </c>
      <c r="R185" s="194">
        <v>313092.16749999998</v>
      </c>
      <c r="S185" s="194">
        <v>5820.55</v>
      </c>
      <c r="T185" s="70">
        <v>1655.8325000000007</v>
      </c>
      <c r="U185" s="80">
        <v>81753.173721494197</v>
      </c>
      <c r="V185" s="73"/>
      <c r="X185" s="30"/>
      <c r="Y185" s="54">
        <v>176</v>
      </c>
      <c r="Z185" s="70">
        <v>58844.65</v>
      </c>
      <c r="AA185" s="75">
        <v>14645</v>
      </c>
      <c r="AB185" s="75">
        <v>4172.95</v>
      </c>
      <c r="AC185" s="75">
        <v>79286.05</v>
      </c>
      <c r="AD185" s="194">
        <v>338238.25</v>
      </c>
      <c r="AE185" s="194">
        <v>7172.95</v>
      </c>
      <c r="AF185" s="76">
        <v>0.05</v>
      </c>
      <c r="AG185" s="70">
        <v>5125.7500000000009</v>
      </c>
      <c r="AH185" s="31"/>
    </row>
    <row r="186" spans="3:34" x14ac:dyDescent="0.25">
      <c r="C186" s="72"/>
      <c r="D186" s="54">
        <v>177</v>
      </c>
      <c r="E186" s="70">
        <v>44493.59</v>
      </c>
      <c r="F186" s="75">
        <v>9343</v>
      </c>
      <c r="G186" s="75">
        <v>84673</v>
      </c>
      <c r="H186" s="194">
        <v>329056</v>
      </c>
      <c r="I186" s="194">
        <v>12341.76</v>
      </c>
      <c r="J186" s="75">
        <v>81753.173721494197</v>
      </c>
      <c r="K186" s="73"/>
      <c r="M186" s="72"/>
      <c r="N186" s="54">
        <v>177</v>
      </c>
      <c r="O186" s="70">
        <v>49102.222499999974</v>
      </c>
      <c r="P186" s="75">
        <v>14239</v>
      </c>
      <c r="Q186" s="75">
        <v>79777</v>
      </c>
      <c r="R186" s="194">
        <v>327311.72249999997</v>
      </c>
      <c r="S186" s="194">
        <v>5988.85</v>
      </c>
      <c r="T186" s="70">
        <v>1744.2775000000008</v>
      </c>
      <c r="U186" s="80">
        <v>81753.173721494197</v>
      </c>
      <c r="V186" s="73"/>
      <c r="X186" s="30"/>
      <c r="Y186" s="54">
        <v>177</v>
      </c>
      <c r="Z186" s="70">
        <v>87040.000000000015</v>
      </c>
      <c r="AA186" s="75">
        <v>14673</v>
      </c>
      <c r="AB186" s="75">
        <v>8244.5399999999991</v>
      </c>
      <c r="AC186" s="75">
        <v>83361.460000000006</v>
      </c>
      <c r="AD186" s="194">
        <v>366840.95</v>
      </c>
      <c r="AE186" s="194">
        <v>7580.3</v>
      </c>
      <c r="AF186" s="76">
        <v>0.09</v>
      </c>
      <c r="AG186" s="70">
        <v>5135.5500000000011</v>
      </c>
      <c r="AH186" s="31"/>
    </row>
    <row r="187" spans="3:34" x14ac:dyDescent="0.25">
      <c r="C187" s="72"/>
      <c r="D187" s="54">
        <v>178</v>
      </c>
      <c r="E187" s="70">
        <v>58351.91</v>
      </c>
      <c r="F187" s="75">
        <v>6870</v>
      </c>
      <c r="G187" s="75">
        <v>91234</v>
      </c>
      <c r="H187" s="194">
        <v>343364</v>
      </c>
      <c r="I187" s="194">
        <v>12791.44</v>
      </c>
      <c r="J187" s="75">
        <v>81753.173721494197</v>
      </c>
      <c r="K187" s="73"/>
      <c r="M187" s="72"/>
      <c r="N187" s="54">
        <v>178</v>
      </c>
      <c r="O187" s="70">
        <v>35173.420000000006</v>
      </c>
      <c r="P187" s="75">
        <v>11828</v>
      </c>
      <c r="Q187" s="75">
        <v>78100</v>
      </c>
      <c r="R187" s="194">
        <v>313299.07</v>
      </c>
      <c r="S187" s="194">
        <v>5905</v>
      </c>
      <c r="T187" s="70">
        <v>1448.9300000000005</v>
      </c>
      <c r="U187" s="80">
        <v>81753.173721494197</v>
      </c>
      <c r="V187" s="73"/>
      <c r="X187" s="30"/>
      <c r="Y187" s="54">
        <v>178</v>
      </c>
      <c r="Z187" s="70">
        <v>31459.45</v>
      </c>
      <c r="AA187" s="75">
        <v>11905</v>
      </c>
      <c r="AB187" s="75">
        <v>5461.6100000000006</v>
      </c>
      <c r="AC187" s="75">
        <v>72561.39</v>
      </c>
      <c r="AD187" s="194">
        <v>310581.25</v>
      </c>
      <c r="AE187" s="194">
        <v>6901.15</v>
      </c>
      <c r="AF187" s="76">
        <v>7.0000000000000007E-2</v>
      </c>
      <c r="AG187" s="70">
        <v>4166.7500000000009</v>
      </c>
      <c r="AH187" s="31"/>
    </row>
    <row r="188" spans="3:34" x14ac:dyDescent="0.25">
      <c r="C188" s="72"/>
      <c r="D188" s="54">
        <v>179</v>
      </c>
      <c r="E188" s="70">
        <v>30635.27</v>
      </c>
      <c r="F188" s="75">
        <v>5419</v>
      </c>
      <c r="G188" s="75">
        <v>84509</v>
      </c>
      <c r="H188" s="194">
        <v>314748</v>
      </c>
      <c r="I188" s="194">
        <v>11892.08</v>
      </c>
      <c r="J188" s="75">
        <v>81753.173721494197</v>
      </c>
      <c r="K188" s="73"/>
      <c r="M188" s="72"/>
      <c r="N188" s="54">
        <v>179</v>
      </c>
      <c r="O188" s="70">
        <v>49318.417500000018</v>
      </c>
      <c r="P188" s="75">
        <v>11257</v>
      </c>
      <c r="Q188" s="75">
        <v>82759</v>
      </c>
      <c r="R188" s="194">
        <v>327677.01750000002</v>
      </c>
      <c r="S188" s="194">
        <v>6137.95</v>
      </c>
      <c r="T188" s="70">
        <v>1378.9825000000005</v>
      </c>
      <c r="U188" s="80">
        <v>81753.173721494197</v>
      </c>
      <c r="V188" s="73"/>
      <c r="X188" s="30"/>
      <c r="Y188" s="54">
        <v>179</v>
      </c>
      <c r="Z188" s="70">
        <v>60028.750000000015</v>
      </c>
      <c r="AA188" s="75">
        <v>10698</v>
      </c>
      <c r="AB188" s="75">
        <v>8740.6</v>
      </c>
      <c r="AC188" s="75">
        <v>78665.399999999994</v>
      </c>
      <c r="AD188" s="194">
        <v>339619.7</v>
      </c>
      <c r="AE188" s="194">
        <v>7370.3</v>
      </c>
      <c r="AF188" s="76">
        <v>0.1</v>
      </c>
      <c r="AG188" s="70">
        <v>3744.3000000000011</v>
      </c>
      <c r="AH188" s="31"/>
    </row>
    <row r="189" spans="3:34" x14ac:dyDescent="0.25">
      <c r="C189" s="72"/>
      <c r="D189" s="54">
        <v>180</v>
      </c>
      <c r="E189" s="70">
        <v>58351.91</v>
      </c>
      <c r="F189" s="75">
        <v>4996</v>
      </c>
      <c r="G189" s="75">
        <v>93108</v>
      </c>
      <c r="H189" s="194">
        <v>343364</v>
      </c>
      <c r="I189" s="194">
        <v>12791.44</v>
      </c>
      <c r="J189" s="75">
        <v>81753.173721494197</v>
      </c>
      <c r="K189" s="73"/>
      <c r="M189" s="72"/>
      <c r="N189" s="54">
        <v>180</v>
      </c>
      <c r="O189" s="70">
        <v>35057.202500000014</v>
      </c>
      <c r="P189" s="75">
        <v>13431</v>
      </c>
      <c r="Q189" s="75">
        <v>76497</v>
      </c>
      <c r="R189" s="194">
        <v>313102.70250000001</v>
      </c>
      <c r="S189" s="194">
        <v>5824.85</v>
      </c>
      <c r="T189" s="70">
        <v>1645.2975000000008</v>
      </c>
      <c r="U189" s="80">
        <v>81753.173721494197</v>
      </c>
      <c r="V189" s="73"/>
      <c r="X189" s="30"/>
      <c r="Y189" s="54">
        <v>180</v>
      </c>
      <c r="Z189" s="70">
        <v>45176.349999999977</v>
      </c>
      <c r="AA189" s="75">
        <v>13194</v>
      </c>
      <c r="AB189" s="75">
        <v>8082.2000000000007</v>
      </c>
      <c r="AC189" s="75">
        <v>72739.8</v>
      </c>
      <c r="AD189" s="194">
        <v>324438.09999999998</v>
      </c>
      <c r="AE189" s="194">
        <v>7041.1</v>
      </c>
      <c r="AF189" s="76">
        <v>0.1</v>
      </c>
      <c r="AG189" s="70">
        <v>4617.9000000000015</v>
      </c>
      <c r="AH189" s="31"/>
    </row>
    <row r="190" spans="3:34" x14ac:dyDescent="0.25">
      <c r="C190" s="72"/>
      <c r="D190" s="54">
        <v>181</v>
      </c>
      <c r="E190" s="70">
        <v>44493.59</v>
      </c>
      <c r="F190" s="75">
        <v>8547</v>
      </c>
      <c r="G190" s="75">
        <v>85469</v>
      </c>
      <c r="H190" s="194">
        <v>329056</v>
      </c>
      <c r="I190" s="194">
        <v>12341.76</v>
      </c>
      <c r="J190" s="75">
        <v>81753.173721494197</v>
      </c>
      <c r="K190" s="73"/>
      <c r="M190" s="72"/>
      <c r="N190" s="54">
        <v>181</v>
      </c>
      <c r="O190" s="70">
        <v>35192.705000000031</v>
      </c>
      <c r="P190" s="75">
        <v>11562</v>
      </c>
      <c r="Q190" s="75">
        <v>78366</v>
      </c>
      <c r="R190" s="194">
        <v>313331.65500000003</v>
      </c>
      <c r="S190" s="194">
        <v>5918.3</v>
      </c>
      <c r="T190" s="70">
        <v>1416.3450000000007</v>
      </c>
      <c r="U190" s="80">
        <v>81753.173721494197</v>
      </c>
      <c r="V190" s="73"/>
      <c r="X190" s="30"/>
      <c r="Y190" s="54">
        <v>181</v>
      </c>
      <c r="Z190" s="70">
        <v>45538.750000000022</v>
      </c>
      <c r="AA190" s="75">
        <v>11986</v>
      </c>
      <c r="AB190" s="75">
        <v>6562.4000000000005</v>
      </c>
      <c r="AC190" s="75">
        <v>75467.600000000006</v>
      </c>
      <c r="AD190" s="194">
        <v>324860.90000000002</v>
      </c>
      <c r="AE190" s="194">
        <v>7101.5</v>
      </c>
      <c r="AF190" s="76">
        <v>0.08</v>
      </c>
      <c r="AG190" s="70">
        <v>4195.1000000000013</v>
      </c>
      <c r="AH190" s="31"/>
    </row>
    <row r="191" spans="3:34" x14ac:dyDescent="0.25">
      <c r="C191" s="72"/>
      <c r="D191" s="54">
        <v>182</v>
      </c>
      <c r="E191" s="70">
        <v>58351.91</v>
      </c>
      <c r="F191" s="75">
        <v>8887</v>
      </c>
      <c r="G191" s="75">
        <v>89217</v>
      </c>
      <c r="H191" s="194">
        <v>343364</v>
      </c>
      <c r="I191" s="194">
        <v>12791.44</v>
      </c>
      <c r="J191" s="75">
        <v>81753.173721494197</v>
      </c>
      <c r="K191" s="73"/>
      <c r="M191" s="72"/>
      <c r="N191" s="54">
        <v>182</v>
      </c>
      <c r="O191" s="70">
        <v>63388.884999999973</v>
      </c>
      <c r="P191" s="75">
        <v>11714</v>
      </c>
      <c r="Q191" s="75">
        <v>86390</v>
      </c>
      <c r="R191" s="194">
        <v>341929.03499999997</v>
      </c>
      <c r="S191" s="194">
        <v>6319.5</v>
      </c>
      <c r="T191" s="70">
        <v>1434.9650000000006</v>
      </c>
      <c r="U191" s="80">
        <v>81753.173721494197</v>
      </c>
      <c r="V191" s="73"/>
      <c r="X191" s="30"/>
      <c r="Y191" s="54">
        <v>182</v>
      </c>
      <c r="Z191" s="70">
        <v>45478.150000000009</v>
      </c>
      <c r="AA191" s="75">
        <v>12188</v>
      </c>
      <c r="AB191" s="75">
        <v>4909.6799999999994</v>
      </c>
      <c r="AC191" s="75">
        <v>76918.320000000007</v>
      </c>
      <c r="AD191" s="194">
        <v>324790.2</v>
      </c>
      <c r="AE191" s="194">
        <v>7091.4</v>
      </c>
      <c r="AF191" s="76">
        <v>0.06</v>
      </c>
      <c r="AG191" s="70">
        <v>4265.8000000000011</v>
      </c>
      <c r="AH191" s="31"/>
    </row>
    <row r="192" spans="3:34" x14ac:dyDescent="0.25">
      <c r="C192" s="72"/>
      <c r="D192" s="54">
        <v>183</v>
      </c>
      <c r="E192" s="70">
        <v>58351.91</v>
      </c>
      <c r="F192" s="75">
        <v>4886</v>
      </c>
      <c r="G192" s="75">
        <v>93218</v>
      </c>
      <c r="H192" s="194">
        <v>343364</v>
      </c>
      <c r="I192" s="194">
        <v>12791.44</v>
      </c>
      <c r="J192" s="75">
        <v>81753.173721494197</v>
      </c>
      <c r="K192" s="73"/>
      <c r="M192" s="72"/>
      <c r="N192" s="54">
        <v>183</v>
      </c>
      <c r="O192" s="70">
        <v>35200.824999999997</v>
      </c>
      <c r="P192" s="75">
        <v>11450</v>
      </c>
      <c r="Q192" s="75">
        <v>78478</v>
      </c>
      <c r="R192" s="194">
        <v>313345.375</v>
      </c>
      <c r="S192" s="194">
        <v>5923.9</v>
      </c>
      <c r="T192" s="70">
        <v>1402.6250000000007</v>
      </c>
      <c r="U192" s="80">
        <v>81753.173721494197</v>
      </c>
      <c r="V192" s="73"/>
      <c r="X192" s="30"/>
      <c r="Y192" s="54">
        <v>183</v>
      </c>
      <c r="Z192" s="70">
        <v>59144.65</v>
      </c>
      <c r="AA192" s="75">
        <v>13645</v>
      </c>
      <c r="AB192" s="75">
        <v>5067.54</v>
      </c>
      <c r="AC192" s="75">
        <v>79391.460000000006</v>
      </c>
      <c r="AD192" s="194">
        <v>338588.25</v>
      </c>
      <c r="AE192" s="194">
        <v>7222.95</v>
      </c>
      <c r="AF192" s="76">
        <v>0.06</v>
      </c>
      <c r="AG192" s="70">
        <v>4775.7500000000009</v>
      </c>
      <c r="AH192" s="31"/>
    </row>
    <row r="193" spans="3:34" x14ac:dyDescent="0.25">
      <c r="C193" s="72"/>
      <c r="D193" s="54">
        <v>184</v>
      </c>
      <c r="E193" s="70">
        <v>44493.59</v>
      </c>
      <c r="F193" s="75">
        <v>7589</v>
      </c>
      <c r="G193" s="75">
        <v>86427</v>
      </c>
      <c r="H193" s="194">
        <v>329056</v>
      </c>
      <c r="I193" s="194">
        <v>12341.76</v>
      </c>
      <c r="J193" s="75">
        <v>81753.173721494197</v>
      </c>
      <c r="K193" s="73"/>
      <c r="M193" s="72"/>
      <c r="N193" s="54">
        <v>184</v>
      </c>
      <c r="O193" s="70">
        <v>35316.752500000002</v>
      </c>
      <c r="P193" s="75">
        <v>9851</v>
      </c>
      <c r="Q193" s="75">
        <v>80077</v>
      </c>
      <c r="R193" s="194">
        <v>313541.2525</v>
      </c>
      <c r="S193" s="194">
        <v>6003.85</v>
      </c>
      <c r="T193" s="70">
        <v>1206.7475000000006</v>
      </c>
      <c r="U193" s="80">
        <v>81753.173721494197</v>
      </c>
      <c r="V193" s="73"/>
      <c r="X193" s="30"/>
      <c r="Y193" s="54">
        <v>184</v>
      </c>
      <c r="Z193" s="70">
        <v>45179.05</v>
      </c>
      <c r="AA193" s="75">
        <v>13185</v>
      </c>
      <c r="AB193" s="75">
        <v>7274.79</v>
      </c>
      <c r="AC193" s="75">
        <v>73556.210000000006</v>
      </c>
      <c r="AD193" s="194">
        <v>324441.25</v>
      </c>
      <c r="AE193" s="194">
        <v>7041.55</v>
      </c>
      <c r="AF193" s="76">
        <v>0.09</v>
      </c>
      <c r="AG193" s="70">
        <v>4614.7500000000009</v>
      </c>
      <c r="AH193" s="31"/>
    </row>
    <row r="194" spans="3:34" x14ac:dyDescent="0.25">
      <c r="C194" s="72"/>
      <c r="D194" s="54">
        <v>185</v>
      </c>
      <c r="E194" s="70">
        <v>86065.16</v>
      </c>
      <c r="F194" s="75">
        <v>7540</v>
      </c>
      <c r="G194" s="75">
        <v>98739</v>
      </c>
      <c r="H194" s="194">
        <v>371976.5</v>
      </c>
      <c r="I194" s="194">
        <v>13690.69</v>
      </c>
      <c r="J194" s="75">
        <v>81753.173721494197</v>
      </c>
      <c r="K194" s="73"/>
      <c r="M194" s="72"/>
      <c r="N194" s="54">
        <v>185</v>
      </c>
      <c r="O194" s="70">
        <v>63314.789999999964</v>
      </c>
      <c r="P194" s="75">
        <v>12736</v>
      </c>
      <c r="Q194" s="75">
        <v>85368</v>
      </c>
      <c r="R194" s="194">
        <v>341803.83999999997</v>
      </c>
      <c r="S194" s="194">
        <v>6268.4000000000005</v>
      </c>
      <c r="T194" s="70">
        <v>1560.1600000000008</v>
      </c>
      <c r="U194" s="80">
        <v>81753.173721494197</v>
      </c>
      <c r="V194" s="73"/>
      <c r="X194" s="30"/>
      <c r="Y194" s="54">
        <v>185</v>
      </c>
      <c r="Z194" s="70">
        <v>45523.150000000009</v>
      </c>
      <c r="AA194" s="75">
        <v>12038</v>
      </c>
      <c r="AB194" s="75">
        <v>8197.8000000000011</v>
      </c>
      <c r="AC194" s="75">
        <v>73780.2</v>
      </c>
      <c r="AD194" s="194">
        <v>324842.7</v>
      </c>
      <c r="AE194" s="194">
        <v>7098.9000000000005</v>
      </c>
      <c r="AF194" s="76">
        <v>0.1</v>
      </c>
      <c r="AG194" s="70">
        <v>4213.3000000000011</v>
      </c>
      <c r="AH194" s="31"/>
    </row>
    <row r="195" spans="3:34" x14ac:dyDescent="0.25">
      <c r="C195" s="72"/>
      <c r="D195" s="54">
        <v>186</v>
      </c>
      <c r="E195" s="70">
        <v>58351.91</v>
      </c>
      <c r="F195" s="75">
        <v>8723</v>
      </c>
      <c r="G195" s="75">
        <v>89381</v>
      </c>
      <c r="H195" s="194">
        <v>343364</v>
      </c>
      <c r="I195" s="194">
        <v>12791.44</v>
      </c>
      <c r="J195" s="75">
        <v>81753.173721494197</v>
      </c>
      <c r="K195" s="73"/>
      <c r="M195" s="72"/>
      <c r="N195" s="54">
        <v>186</v>
      </c>
      <c r="O195" s="70">
        <v>63315.225000000013</v>
      </c>
      <c r="P195" s="75">
        <v>12730</v>
      </c>
      <c r="Q195" s="75">
        <v>85374</v>
      </c>
      <c r="R195" s="194">
        <v>341804.57500000001</v>
      </c>
      <c r="S195" s="194">
        <v>6268.7</v>
      </c>
      <c r="T195" s="70">
        <v>1559.4250000000006</v>
      </c>
      <c r="U195" s="80">
        <v>81753.173721494197</v>
      </c>
      <c r="V195" s="73"/>
      <c r="X195" s="30"/>
      <c r="Y195" s="54">
        <v>186</v>
      </c>
      <c r="Z195" s="70">
        <v>88224.4</v>
      </c>
      <c r="AA195" s="75">
        <v>10725</v>
      </c>
      <c r="AB195" s="75">
        <v>6688.7800000000007</v>
      </c>
      <c r="AC195" s="75">
        <v>88865.22</v>
      </c>
      <c r="AD195" s="194">
        <v>368222.75</v>
      </c>
      <c r="AE195" s="194">
        <v>7777.7</v>
      </c>
      <c r="AF195" s="76">
        <v>7.0000000000000007E-2</v>
      </c>
      <c r="AG195" s="70">
        <v>3753.7500000000009</v>
      </c>
      <c r="AH195" s="31"/>
    </row>
    <row r="196" spans="3:34" x14ac:dyDescent="0.25">
      <c r="C196" s="72"/>
      <c r="D196" s="54">
        <v>187</v>
      </c>
      <c r="E196" s="70">
        <v>58351.91</v>
      </c>
      <c r="F196" s="75">
        <v>7770</v>
      </c>
      <c r="G196" s="75">
        <v>90334</v>
      </c>
      <c r="H196" s="194">
        <v>343364</v>
      </c>
      <c r="I196" s="194">
        <v>12791.44</v>
      </c>
      <c r="J196" s="75">
        <v>81753.173721494197</v>
      </c>
      <c r="K196" s="73"/>
      <c r="M196" s="72"/>
      <c r="N196" s="54">
        <v>187</v>
      </c>
      <c r="O196" s="70">
        <v>35236.132499999971</v>
      </c>
      <c r="P196" s="75">
        <v>10963</v>
      </c>
      <c r="Q196" s="75">
        <v>78965</v>
      </c>
      <c r="R196" s="194">
        <v>313405.03249999997</v>
      </c>
      <c r="S196" s="194">
        <v>5948.25</v>
      </c>
      <c r="T196" s="70">
        <v>1342.9675000000007</v>
      </c>
      <c r="U196" s="80">
        <v>81753.173721494197</v>
      </c>
      <c r="V196" s="73"/>
      <c r="X196" s="30"/>
      <c r="Y196" s="54">
        <v>187</v>
      </c>
      <c r="Z196" s="70">
        <v>59126.949999999975</v>
      </c>
      <c r="AA196" s="75">
        <v>13704</v>
      </c>
      <c r="AB196" s="75">
        <v>5908.0000000000009</v>
      </c>
      <c r="AC196" s="75">
        <v>78492</v>
      </c>
      <c r="AD196" s="194">
        <v>338567.6</v>
      </c>
      <c r="AE196" s="194">
        <v>7220</v>
      </c>
      <c r="AF196" s="76">
        <v>7.0000000000000007E-2</v>
      </c>
      <c r="AG196" s="70">
        <v>4796.4000000000015</v>
      </c>
      <c r="AH196" s="31"/>
    </row>
    <row r="197" spans="3:34" x14ac:dyDescent="0.25">
      <c r="C197" s="72"/>
      <c r="D197" s="54">
        <v>188</v>
      </c>
      <c r="E197" s="70">
        <v>86065.16</v>
      </c>
      <c r="F197" s="75">
        <v>9547</v>
      </c>
      <c r="G197" s="75">
        <v>96732</v>
      </c>
      <c r="H197" s="194">
        <v>371976.5</v>
      </c>
      <c r="I197" s="194">
        <v>13690.69</v>
      </c>
      <c r="J197" s="75">
        <v>81753.173721494197</v>
      </c>
      <c r="K197" s="73"/>
      <c r="M197" s="72"/>
      <c r="N197" s="54">
        <v>188</v>
      </c>
      <c r="O197" s="70">
        <v>35061.842499999984</v>
      </c>
      <c r="P197" s="75">
        <v>13367</v>
      </c>
      <c r="Q197" s="75">
        <v>76561</v>
      </c>
      <c r="R197" s="194">
        <v>313110.54249999998</v>
      </c>
      <c r="S197" s="194">
        <v>5828.05</v>
      </c>
      <c r="T197" s="70">
        <v>1637.4575000000007</v>
      </c>
      <c r="U197" s="80">
        <v>81753.173721494197</v>
      </c>
      <c r="V197" s="73"/>
      <c r="X197" s="30"/>
      <c r="Y197" s="54">
        <v>188</v>
      </c>
      <c r="Z197" s="70">
        <v>45425.349999999977</v>
      </c>
      <c r="AA197" s="75">
        <v>12364</v>
      </c>
      <c r="AB197" s="75">
        <v>4899.12</v>
      </c>
      <c r="AC197" s="75">
        <v>76752.88</v>
      </c>
      <c r="AD197" s="194">
        <v>324728.59999999998</v>
      </c>
      <c r="AE197" s="194">
        <v>7082.6</v>
      </c>
      <c r="AF197" s="76">
        <v>0.06</v>
      </c>
      <c r="AG197" s="70">
        <v>4327.4000000000015</v>
      </c>
      <c r="AH197" s="31"/>
    </row>
    <row r="198" spans="3:34" x14ac:dyDescent="0.25">
      <c r="C198" s="72"/>
      <c r="D198" s="54">
        <v>189</v>
      </c>
      <c r="E198" s="70">
        <v>30635.27</v>
      </c>
      <c r="F198" s="75">
        <v>7981</v>
      </c>
      <c r="G198" s="75">
        <v>81947</v>
      </c>
      <c r="H198" s="194">
        <v>314748</v>
      </c>
      <c r="I198" s="194">
        <v>11892.08</v>
      </c>
      <c r="J198" s="75">
        <v>81753.173721494197</v>
      </c>
      <c r="K198" s="73"/>
      <c r="M198" s="72"/>
      <c r="N198" s="54">
        <v>189</v>
      </c>
      <c r="O198" s="70">
        <v>63235.837500000001</v>
      </c>
      <c r="P198" s="75">
        <v>13825</v>
      </c>
      <c r="Q198" s="75">
        <v>84279</v>
      </c>
      <c r="R198" s="194">
        <v>341670.4375</v>
      </c>
      <c r="S198" s="194">
        <v>6213.95</v>
      </c>
      <c r="T198" s="70">
        <v>1693.5625000000007</v>
      </c>
      <c r="U198" s="80">
        <v>81753.173721494197</v>
      </c>
      <c r="V198" s="73"/>
      <c r="X198" s="30"/>
      <c r="Y198" s="54">
        <v>189</v>
      </c>
      <c r="Z198" s="70">
        <v>45767.650000000009</v>
      </c>
      <c r="AA198" s="75">
        <v>11223</v>
      </c>
      <c r="AB198" s="75">
        <v>4139.6500000000005</v>
      </c>
      <c r="AC198" s="75">
        <v>78653.350000000006</v>
      </c>
      <c r="AD198" s="194">
        <v>325127.95</v>
      </c>
      <c r="AE198" s="194">
        <v>7139.6500000000005</v>
      </c>
      <c r="AF198" s="76">
        <v>0.05</v>
      </c>
      <c r="AG198" s="70">
        <v>3928.0500000000011</v>
      </c>
      <c r="AH198" s="31"/>
    </row>
    <row r="199" spans="3:34" x14ac:dyDescent="0.25">
      <c r="C199" s="72"/>
      <c r="D199" s="54">
        <v>190</v>
      </c>
      <c r="E199" s="70">
        <v>44493.59</v>
      </c>
      <c r="F199" s="75">
        <v>8483</v>
      </c>
      <c r="G199" s="75">
        <v>85533</v>
      </c>
      <c r="H199" s="194">
        <v>329056</v>
      </c>
      <c r="I199" s="194">
        <v>12341.76</v>
      </c>
      <c r="J199" s="75">
        <v>81753.173721494197</v>
      </c>
      <c r="K199" s="73"/>
      <c r="M199" s="72"/>
      <c r="N199" s="54">
        <v>190</v>
      </c>
      <c r="O199" s="70">
        <v>63529.534999999996</v>
      </c>
      <c r="P199" s="75">
        <v>9774</v>
      </c>
      <c r="Q199" s="75">
        <v>88330</v>
      </c>
      <c r="R199" s="194">
        <v>342166.685</v>
      </c>
      <c r="S199" s="194">
        <v>6416.5</v>
      </c>
      <c r="T199" s="70">
        <v>1197.3150000000005</v>
      </c>
      <c r="U199" s="80">
        <v>81753.173721494197</v>
      </c>
      <c r="V199" s="73"/>
      <c r="X199" s="30"/>
      <c r="Y199" s="54">
        <v>190</v>
      </c>
      <c r="Z199" s="70">
        <v>45523.750000000022</v>
      </c>
      <c r="AA199" s="75">
        <v>12036</v>
      </c>
      <c r="AB199" s="75">
        <v>6558.4000000000005</v>
      </c>
      <c r="AC199" s="75">
        <v>75421.600000000006</v>
      </c>
      <c r="AD199" s="194">
        <v>324843.40000000002</v>
      </c>
      <c r="AE199" s="194">
        <v>7099</v>
      </c>
      <c r="AF199" s="76">
        <v>0.08</v>
      </c>
      <c r="AG199" s="70">
        <v>4212.6000000000013</v>
      </c>
      <c r="AH199" s="31"/>
    </row>
    <row r="200" spans="3:34" x14ac:dyDescent="0.25">
      <c r="C200" s="72"/>
      <c r="D200" s="54">
        <v>191</v>
      </c>
      <c r="E200" s="70">
        <v>58351.91</v>
      </c>
      <c r="F200" s="75">
        <v>8852</v>
      </c>
      <c r="G200" s="75">
        <v>89252</v>
      </c>
      <c r="H200" s="194">
        <v>343364</v>
      </c>
      <c r="I200" s="194">
        <v>12791.44</v>
      </c>
      <c r="J200" s="75">
        <v>81753.173721494197</v>
      </c>
      <c r="K200" s="73"/>
      <c r="M200" s="72"/>
      <c r="N200" s="54">
        <v>191</v>
      </c>
      <c r="O200" s="70">
        <v>49249.687500000015</v>
      </c>
      <c r="P200" s="75">
        <v>12205</v>
      </c>
      <c r="Q200" s="75">
        <v>81811</v>
      </c>
      <c r="R200" s="194">
        <v>327560.88750000001</v>
      </c>
      <c r="S200" s="194">
        <v>6090.55</v>
      </c>
      <c r="T200" s="70">
        <v>1495.1125000000006</v>
      </c>
      <c r="U200" s="80">
        <v>81753.173721494197</v>
      </c>
      <c r="V200" s="73"/>
      <c r="X200" s="30"/>
      <c r="Y200" s="54">
        <v>191</v>
      </c>
      <c r="Z200" s="70">
        <v>46008.849999999977</v>
      </c>
      <c r="AA200" s="75">
        <v>10419</v>
      </c>
      <c r="AB200" s="75">
        <v>5015.82</v>
      </c>
      <c r="AC200" s="75">
        <v>78581.179999999993</v>
      </c>
      <c r="AD200" s="194">
        <v>325409.34999999998</v>
      </c>
      <c r="AE200" s="194">
        <v>7179.85</v>
      </c>
      <c r="AF200" s="76">
        <v>0.06</v>
      </c>
      <c r="AG200" s="70">
        <v>3646.650000000001</v>
      </c>
      <c r="AH200" s="31"/>
    </row>
    <row r="201" spans="3:34" x14ac:dyDescent="0.25">
      <c r="C201" s="72"/>
      <c r="D201" s="54">
        <v>192</v>
      </c>
      <c r="E201" s="70">
        <v>30635.27</v>
      </c>
      <c r="F201" s="75">
        <v>5297</v>
      </c>
      <c r="G201" s="75">
        <v>84631</v>
      </c>
      <c r="H201" s="194">
        <v>314748</v>
      </c>
      <c r="I201" s="194">
        <v>11892.08</v>
      </c>
      <c r="J201" s="75">
        <v>81753.173721494197</v>
      </c>
      <c r="K201" s="73"/>
      <c r="M201" s="72"/>
      <c r="N201" s="54">
        <v>192</v>
      </c>
      <c r="O201" s="70">
        <v>49178.710000000021</v>
      </c>
      <c r="P201" s="75">
        <v>13184</v>
      </c>
      <c r="Q201" s="75">
        <v>80832</v>
      </c>
      <c r="R201" s="194">
        <v>327440.96000000002</v>
      </c>
      <c r="S201" s="194">
        <v>6041.6</v>
      </c>
      <c r="T201" s="70">
        <v>1615.0400000000006</v>
      </c>
      <c r="U201" s="80">
        <v>81753.173721494197</v>
      </c>
      <c r="V201" s="73"/>
      <c r="X201" s="30"/>
      <c r="Y201" s="54">
        <v>192</v>
      </c>
      <c r="Z201" s="70">
        <v>60075.85000000002</v>
      </c>
      <c r="AA201" s="75">
        <v>10541</v>
      </c>
      <c r="AB201" s="75">
        <v>6129.4100000000008</v>
      </c>
      <c r="AC201" s="75">
        <v>81433.59</v>
      </c>
      <c r="AD201" s="194">
        <v>339674.65</v>
      </c>
      <c r="AE201" s="194">
        <v>7378.1500000000005</v>
      </c>
      <c r="AF201" s="76">
        <v>7.0000000000000007E-2</v>
      </c>
      <c r="AG201" s="70">
        <v>3689.3500000000008</v>
      </c>
      <c r="AH201" s="31"/>
    </row>
    <row r="202" spans="3:34" x14ac:dyDescent="0.25">
      <c r="C202" s="72"/>
      <c r="D202" s="54">
        <v>193</v>
      </c>
      <c r="E202" s="70">
        <v>30635.27</v>
      </c>
      <c r="F202" s="75">
        <v>5431</v>
      </c>
      <c r="G202" s="75">
        <v>84497</v>
      </c>
      <c r="H202" s="194">
        <v>314748</v>
      </c>
      <c r="I202" s="194">
        <v>11892.08</v>
      </c>
      <c r="J202" s="75">
        <v>81753.173721494197</v>
      </c>
      <c r="K202" s="73"/>
      <c r="M202" s="72"/>
      <c r="N202" s="54">
        <v>193</v>
      </c>
      <c r="O202" s="70">
        <v>49384.247499999998</v>
      </c>
      <c r="P202" s="75">
        <v>10349</v>
      </c>
      <c r="Q202" s="75">
        <v>83667</v>
      </c>
      <c r="R202" s="194">
        <v>327788.2475</v>
      </c>
      <c r="S202" s="194">
        <v>6183.35</v>
      </c>
      <c r="T202" s="70">
        <v>1267.7525000000005</v>
      </c>
      <c r="U202" s="80">
        <v>81753.173721494197</v>
      </c>
      <c r="V202" s="73"/>
      <c r="X202" s="30"/>
      <c r="Y202" s="54">
        <v>193</v>
      </c>
      <c r="Z202" s="70">
        <v>58841.65</v>
      </c>
      <c r="AA202" s="75">
        <v>14655</v>
      </c>
      <c r="AB202" s="75">
        <v>7510.41</v>
      </c>
      <c r="AC202" s="75">
        <v>75938.59</v>
      </c>
      <c r="AD202" s="194">
        <v>338234.75</v>
      </c>
      <c r="AE202" s="194">
        <v>7172.45</v>
      </c>
      <c r="AF202" s="76">
        <v>0.09</v>
      </c>
      <c r="AG202" s="70">
        <v>5129.2500000000009</v>
      </c>
      <c r="AH202" s="31"/>
    </row>
    <row r="203" spans="3:34" x14ac:dyDescent="0.25">
      <c r="C203" s="72"/>
      <c r="D203" s="54">
        <v>194</v>
      </c>
      <c r="E203" s="70">
        <v>58351.91</v>
      </c>
      <c r="F203" s="75">
        <v>9853</v>
      </c>
      <c r="G203" s="75">
        <v>88251</v>
      </c>
      <c r="H203" s="194">
        <v>343364</v>
      </c>
      <c r="I203" s="194">
        <v>12791.44</v>
      </c>
      <c r="J203" s="75">
        <v>81753.173721494197</v>
      </c>
      <c r="K203" s="73"/>
      <c r="M203" s="72"/>
      <c r="N203" s="54">
        <v>194</v>
      </c>
      <c r="O203" s="70">
        <v>63315.732499999998</v>
      </c>
      <c r="P203" s="75">
        <v>12723</v>
      </c>
      <c r="Q203" s="75">
        <v>85381</v>
      </c>
      <c r="R203" s="194">
        <v>341805.4325</v>
      </c>
      <c r="S203" s="194">
        <v>6269.05</v>
      </c>
      <c r="T203" s="70">
        <v>1558.5675000000008</v>
      </c>
      <c r="U203" s="80">
        <v>81753.173721494197</v>
      </c>
      <c r="V203" s="73"/>
      <c r="X203" s="30"/>
      <c r="Y203" s="54">
        <v>194</v>
      </c>
      <c r="Z203" s="70">
        <v>45707.650000000009</v>
      </c>
      <c r="AA203" s="75">
        <v>11423</v>
      </c>
      <c r="AB203" s="75">
        <v>4129.6500000000005</v>
      </c>
      <c r="AC203" s="75">
        <v>78463.350000000006</v>
      </c>
      <c r="AD203" s="194">
        <v>325057.95</v>
      </c>
      <c r="AE203" s="194">
        <v>7129.6500000000005</v>
      </c>
      <c r="AF203" s="76">
        <v>0.05</v>
      </c>
      <c r="AG203" s="70">
        <v>3998.0500000000011</v>
      </c>
      <c r="AH203" s="31"/>
    </row>
    <row r="204" spans="3:34" x14ac:dyDescent="0.25">
      <c r="C204" s="72"/>
      <c r="D204" s="54">
        <v>195</v>
      </c>
      <c r="E204" s="70">
        <v>44493.59</v>
      </c>
      <c r="F204" s="75">
        <v>4834</v>
      </c>
      <c r="G204" s="75">
        <v>89182</v>
      </c>
      <c r="H204" s="194">
        <v>329056</v>
      </c>
      <c r="I204" s="194">
        <v>12341.76</v>
      </c>
      <c r="J204" s="75">
        <v>81753.173721494197</v>
      </c>
      <c r="K204" s="73"/>
      <c r="M204" s="72"/>
      <c r="N204" s="54">
        <v>195</v>
      </c>
      <c r="O204" s="70">
        <v>63169.282499999987</v>
      </c>
      <c r="P204" s="75">
        <v>14743</v>
      </c>
      <c r="Q204" s="75">
        <v>83361</v>
      </c>
      <c r="R204" s="194">
        <v>341557.98249999998</v>
      </c>
      <c r="S204" s="194">
        <v>6168.05</v>
      </c>
      <c r="T204" s="70">
        <v>1806.0175000000008</v>
      </c>
      <c r="U204" s="80">
        <v>81753.173721494197</v>
      </c>
      <c r="V204" s="73"/>
      <c r="X204" s="30"/>
      <c r="Y204" s="54">
        <v>195</v>
      </c>
      <c r="Z204" s="70">
        <v>46277.05</v>
      </c>
      <c r="AA204" s="75">
        <v>9525</v>
      </c>
      <c r="AB204" s="75">
        <v>4224.55</v>
      </c>
      <c r="AC204" s="75">
        <v>80266.45</v>
      </c>
      <c r="AD204" s="194">
        <v>325722.25</v>
      </c>
      <c r="AE204" s="194">
        <v>7224.55</v>
      </c>
      <c r="AF204" s="76">
        <v>0.05</v>
      </c>
      <c r="AG204" s="70">
        <v>3333.7500000000009</v>
      </c>
      <c r="AH204" s="31"/>
    </row>
    <row r="205" spans="3:34" x14ac:dyDescent="0.25">
      <c r="C205" s="72"/>
      <c r="D205" s="54">
        <v>196</v>
      </c>
      <c r="E205" s="70">
        <v>30635.27</v>
      </c>
      <c r="F205" s="75">
        <v>5479</v>
      </c>
      <c r="G205" s="75">
        <v>84449</v>
      </c>
      <c r="H205" s="194">
        <v>314748</v>
      </c>
      <c r="I205" s="194">
        <v>11892.08</v>
      </c>
      <c r="J205" s="75">
        <v>81753.173721494197</v>
      </c>
      <c r="K205" s="73"/>
      <c r="M205" s="72"/>
      <c r="N205" s="54">
        <v>196</v>
      </c>
      <c r="O205" s="70">
        <v>63155.797500000008</v>
      </c>
      <c r="P205" s="75">
        <v>14929</v>
      </c>
      <c r="Q205" s="75">
        <v>83175</v>
      </c>
      <c r="R205" s="194">
        <v>341535.19750000001</v>
      </c>
      <c r="S205" s="194">
        <v>6158.75</v>
      </c>
      <c r="T205" s="70">
        <v>1828.8025000000007</v>
      </c>
      <c r="U205" s="80">
        <v>81753.173721494197</v>
      </c>
      <c r="V205" s="73"/>
      <c r="X205" s="30"/>
      <c r="Y205" s="54">
        <v>196</v>
      </c>
      <c r="Z205" s="70">
        <v>45797.94999999999</v>
      </c>
      <c r="AA205" s="75">
        <v>11122</v>
      </c>
      <c r="AB205" s="75">
        <v>4973.6399999999994</v>
      </c>
      <c r="AC205" s="75">
        <v>77920.36</v>
      </c>
      <c r="AD205" s="194">
        <v>325163.3</v>
      </c>
      <c r="AE205" s="194">
        <v>7144.7</v>
      </c>
      <c r="AF205" s="76">
        <v>0.06</v>
      </c>
      <c r="AG205" s="70">
        <v>3892.7000000000012</v>
      </c>
      <c r="AH205" s="31"/>
    </row>
    <row r="206" spans="3:34" x14ac:dyDescent="0.25">
      <c r="C206" s="72"/>
      <c r="D206" s="54">
        <v>197</v>
      </c>
      <c r="E206" s="70">
        <v>58351.91</v>
      </c>
      <c r="F206" s="75">
        <v>7891</v>
      </c>
      <c r="G206" s="75">
        <v>90213</v>
      </c>
      <c r="H206" s="194">
        <v>343364</v>
      </c>
      <c r="I206" s="194">
        <v>12791.44</v>
      </c>
      <c r="J206" s="75">
        <v>81753.173721494197</v>
      </c>
      <c r="K206" s="73"/>
      <c r="M206" s="72"/>
      <c r="N206" s="54">
        <v>197</v>
      </c>
      <c r="O206" s="70">
        <v>49377.722499999974</v>
      </c>
      <c r="P206" s="75">
        <v>10439</v>
      </c>
      <c r="Q206" s="75">
        <v>83577</v>
      </c>
      <c r="R206" s="194">
        <v>327777.22249999997</v>
      </c>
      <c r="S206" s="194">
        <v>6178.85</v>
      </c>
      <c r="T206" s="70">
        <v>1278.7775000000006</v>
      </c>
      <c r="U206" s="80">
        <v>81753.173721494197</v>
      </c>
      <c r="V206" s="73"/>
      <c r="X206" s="30"/>
      <c r="Y206" s="54">
        <v>197</v>
      </c>
      <c r="Z206" s="70">
        <v>59116.15</v>
      </c>
      <c r="AA206" s="75">
        <v>13740</v>
      </c>
      <c r="AB206" s="75">
        <v>5061.84</v>
      </c>
      <c r="AC206" s="75">
        <v>79302.16</v>
      </c>
      <c r="AD206" s="194">
        <v>338555</v>
      </c>
      <c r="AE206" s="194">
        <v>7218.2</v>
      </c>
      <c r="AF206" s="76">
        <v>0.06</v>
      </c>
      <c r="AG206" s="70">
        <v>4809.0000000000009</v>
      </c>
      <c r="AH206" s="31"/>
    </row>
    <row r="207" spans="3:34" x14ac:dyDescent="0.25">
      <c r="C207" s="72"/>
      <c r="D207" s="54">
        <v>198</v>
      </c>
      <c r="E207" s="70">
        <v>30635.27</v>
      </c>
      <c r="F207" s="75">
        <v>7212</v>
      </c>
      <c r="G207" s="75">
        <v>82716</v>
      </c>
      <c r="H207" s="194">
        <v>314748</v>
      </c>
      <c r="I207" s="194">
        <v>11892.08</v>
      </c>
      <c r="J207" s="75">
        <v>81753.173721494197</v>
      </c>
      <c r="K207" s="73"/>
      <c r="M207" s="72"/>
      <c r="N207" s="54">
        <v>198</v>
      </c>
      <c r="O207" s="70">
        <v>63172.327499999999</v>
      </c>
      <c r="P207" s="75">
        <v>14701</v>
      </c>
      <c r="Q207" s="75">
        <v>83403</v>
      </c>
      <c r="R207" s="194">
        <v>341563.1275</v>
      </c>
      <c r="S207" s="194">
        <v>6170.1500000000005</v>
      </c>
      <c r="T207" s="70">
        <v>1800.8725000000009</v>
      </c>
      <c r="U207" s="80">
        <v>81753.173721494197</v>
      </c>
      <c r="V207" s="73"/>
      <c r="X207" s="30"/>
      <c r="Y207" s="54">
        <v>198</v>
      </c>
      <c r="Z207" s="70">
        <v>30965.349999999988</v>
      </c>
      <c r="AA207" s="75">
        <v>13552</v>
      </c>
      <c r="AB207" s="75">
        <v>6110.08</v>
      </c>
      <c r="AC207" s="75">
        <v>70265.919999999998</v>
      </c>
      <c r="AD207" s="194">
        <v>310004.8</v>
      </c>
      <c r="AE207" s="194">
        <v>6818.8</v>
      </c>
      <c r="AF207" s="76">
        <v>0.08</v>
      </c>
      <c r="AG207" s="70">
        <v>4743.2000000000016</v>
      </c>
      <c r="AH207" s="31"/>
    </row>
    <row r="208" spans="3:34" x14ac:dyDescent="0.25">
      <c r="C208" s="72"/>
      <c r="D208" s="54">
        <v>199</v>
      </c>
      <c r="E208" s="70">
        <v>44493.59</v>
      </c>
      <c r="F208" s="75">
        <v>7599</v>
      </c>
      <c r="G208" s="75">
        <v>86417</v>
      </c>
      <c r="H208" s="194">
        <v>329056</v>
      </c>
      <c r="I208" s="194">
        <v>12341.76</v>
      </c>
      <c r="J208" s="75">
        <v>81753.173721494197</v>
      </c>
      <c r="K208" s="73"/>
      <c r="M208" s="72"/>
      <c r="N208" s="54">
        <v>199</v>
      </c>
      <c r="O208" s="70">
        <v>63235.909999999996</v>
      </c>
      <c r="P208" s="75">
        <v>13824</v>
      </c>
      <c r="Q208" s="75">
        <v>84280</v>
      </c>
      <c r="R208" s="194">
        <v>341670.56</v>
      </c>
      <c r="S208" s="194">
        <v>6214</v>
      </c>
      <c r="T208" s="70">
        <v>1693.4400000000007</v>
      </c>
      <c r="U208" s="80">
        <v>81753.173721494197</v>
      </c>
      <c r="V208" s="73"/>
      <c r="X208" s="30"/>
      <c r="Y208" s="54">
        <v>199</v>
      </c>
      <c r="Z208" s="70">
        <v>30983.95</v>
      </c>
      <c r="AA208" s="75">
        <v>13490</v>
      </c>
      <c r="AB208" s="75">
        <v>6115.04</v>
      </c>
      <c r="AC208" s="75">
        <v>70322.960000000006</v>
      </c>
      <c r="AD208" s="194">
        <v>310026.5</v>
      </c>
      <c r="AE208" s="194">
        <v>6821.9</v>
      </c>
      <c r="AF208" s="76">
        <v>0.08</v>
      </c>
      <c r="AG208" s="70">
        <v>4721.5000000000009</v>
      </c>
      <c r="AH208" s="31"/>
    </row>
    <row r="209" spans="3:34" x14ac:dyDescent="0.25">
      <c r="C209" s="72"/>
      <c r="D209" s="54">
        <v>200</v>
      </c>
      <c r="E209" s="70">
        <v>30635.27</v>
      </c>
      <c r="F209" s="75">
        <v>6223</v>
      </c>
      <c r="G209" s="75">
        <v>83705</v>
      </c>
      <c r="H209" s="194">
        <v>314748</v>
      </c>
      <c r="I209" s="194">
        <v>11892.08</v>
      </c>
      <c r="J209" s="75">
        <v>81753.173721494197</v>
      </c>
      <c r="K209" s="73"/>
      <c r="M209" s="72"/>
      <c r="N209" s="54">
        <v>200</v>
      </c>
      <c r="O209" s="70">
        <v>49185.307499999981</v>
      </c>
      <c r="P209" s="75">
        <v>13093</v>
      </c>
      <c r="Q209" s="75">
        <v>80923</v>
      </c>
      <c r="R209" s="194">
        <v>327452.10749999998</v>
      </c>
      <c r="S209" s="194">
        <v>6046.15</v>
      </c>
      <c r="T209" s="70">
        <v>1603.8925000000006</v>
      </c>
      <c r="U209" s="80">
        <v>81753.173721494197</v>
      </c>
      <c r="V209" s="73"/>
      <c r="X209" s="30"/>
      <c r="Y209" s="54">
        <v>200</v>
      </c>
      <c r="Z209" s="70">
        <v>60277.15</v>
      </c>
      <c r="AA209" s="75">
        <v>9870</v>
      </c>
      <c r="AB209" s="75">
        <v>8823.4</v>
      </c>
      <c r="AC209" s="75">
        <v>79410.600000000006</v>
      </c>
      <c r="AD209" s="194">
        <v>339909.5</v>
      </c>
      <c r="AE209" s="194">
        <v>7411.7</v>
      </c>
      <c r="AF209" s="76">
        <v>0.1</v>
      </c>
      <c r="AG209" s="70">
        <v>3454.5000000000009</v>
      </c>
      <c r="AH209" s="31"/>
    </row>
    <row r="210" spans="3:34" x14ac:dyDescent="0.25">
      <c r="C210" s="72"/>
      <c r="D210" s="54">
        <v>201</v>
      </c>
      <c r="E210" s="70">
        <v>44493.59</v>
      </c>
      <c r="F210" s="75">
        <v>6612</v>
      </c>
      <c r="G210" s="75">
        <v>87404</v>
      </c>
      <c r="H210" s="194">
        <v>329056</v>
      </c>
      <c r="I210" s="194">
        <v>12341.76</v>
      </c>
      <c r="J210" s="75">
        <v>81753.173721494197</v>
      </c>
      <c r="K210" s="73"/>
      <c r="M210" s="72"/>
      <c r="N210" s="54">
        <v>201</v>
      </c>
      <c r="O210" s="70">
        <v>35258.317500000019</v>
      </c>
      <c r="P210" s="75">
        <v>10657</v>
      </c>
      <c r="Q210" s="75">
        <v>79271</v>
      </c>
      <c r="R210" s="194">
        <v>313442.51750000002</v>
      </c>
      <c r="S210" s="194">
        <v>5963.55</v>
      </c>
      <c r="T210" s="70">
        <v>1305.4825000000005</v>
      </c>
      <c r="U210" s="80">
        <v>81753.173721494197</v>
      </c>
      <c r="V210" s="73"/>
      <c r="X210" s="30"/>
      <c r="Y210" s="54">
        <v>201</v>
      </c>
      <c r="Z210" s="70">
        <v>44925.849999999977</v>
      </c>
      <c r="AA210" s="75">
        <v>14029</v>
      </c>
      <c r="AB210" s="75">
        <v>7198.83</v>
      </c>
      <c r="AC210" s="75">
        <v>72788.17</v>
      </c>
      <c r="AD210" s="194">
        <v>324145.84999999998</v>
      </c>
      <c r="AE210" s="194">
        <v>6999.35</v>
      </c>
      <c r="AF210" s="76">
        <v>0.09</v>
      </c>
      <c r="AG210" s="70">
        <v>4910.1500000000015</v>
      </c>
      <c r="AH210" s="31"/>
    </row>
    <row r="211" spans="3:34" x14ac:dyDescent="0.25">
      <c r="C211" s="72"/>
      <c r="D211" s="54">
        <v>202</v>
      </c>
      <c r="E211" s="70">
        <v>30635.27</v>
      </c>
      <c r="F211" s="75">
        <v>5346</v>
      </c>
      <c r="G211" s="75">
        <v>84582</v>
      </c>
      <c r="H211" s="194">
        <v>314748</v>
      </c>
      <c r="I211" s="194">
        <v>11892.08</v>
      </c>
      <c r="J211" s="75">
        <v>81753.173721494197</v>
      </c>
      <c r="K211" s="73"/>
      <c r="M211" s="72"/>
      <c r="N211" s="54">
        <v>202</v>
      </c>
      <c r="O211" s="70">
        <v>49310.514999999978</v>
      </c>
      <c r="P211" s="75">
        <v>11366</v>
      </c>
      <c r="Q211" s="75">
        <v>82650</v>
      </c>
      <c r="R211" s="194">
        <v>327663.66499999998</v>
      </c>
      <c r="S211" s="194">
        <v>6132.5</v>
      </c>
      <c r="T211" s="70">
        <v>1392.3350000000007</v>
      </c>
      <c r="U211" s="80">
        <v>81753.173721494197</v>
      </c>
      <c r="V211" s="73"/>
      <c r="X211" s="30"/>
      <c r="Y211" s="54">
        <v>202</v>
      </c>
      <c r="Z211" s="70">
        <v>45162.55</v>
      </c>
      <c r="AA211" s="75">
        <v>13240</v>
      </c>
      <c r="AB211" s="75">
        <v>5654.3200000000006</v>
      </c>
      <c r="AC211" s="75">
        <v>75121.679999999993</v>
      </c>
      <c r="AD211" s="194">
        <v>324422</v>
      </c>
      <c r="AE211" s="194">
        <v>7038.8</v>
      </c>
      <c r="AF211" s="76">
        <v>7.0000000000000007E-2</v>
      </c>
      <c r="AG211" s="70">
        <v>4634.0000000000009</v>
      </c>
      <c r="AH211" s="31"/>
    </row>
    <row r="212" spans="3:34" x14ac:dyDescent="0.25">
      <c r="C212" s="72"/>
      <c r="D212" s="54">
        <v>203</v>
      </c>
      <c r="E212" s="70">
        <v>44493.59</v>
      </c>
      <c r="F212" s="75">
        <v>6659</v>
      </c>
      <c r="G212" s="75">
        <v>87357</v>
      </c>
      <c r="H212" s="194">
        <v>329056</v>
      </c>
      <c r="I212" s="194">
        <v>12341.76</v>
      </c>
      <c r="J212" s="75">
        <v>81753.173721494197</v>
      </c>
      <c r="K212" s="73"/>
      <c r="M212" s="72"/>
      <c r="N212" s="54">
        <v>203</v>
      </c>
      <c r="O212" s="70">
        <v>63394.975000000013</v>
      </c>
      <c r="P212" s="75">
        <v>11630</v>
      </c>
      <c r="Q212" s="75">
        <v>86474</v>
      </c>
      <c r="R212" s="194">
        <v>341939.32500000001</v>
      </c>
      <c r="S212" s="194">
        <v>6323.7</v>
      </c>
      <c r="T212" s="70">
        <v>1424.6750000000006</v>
      </c>
      <c r="U212" s="80">
        <v>81753.173721494197</v>
      </c>
      <c r="V212" s="73"/>
      <c r="X212" s="30"/>
      <c r="Y212" s="54">
        <v>203</v>
      </c>
      <c r="Z212" s="70">
        <v>46295.650000000009</v>
      </c>
      <c r="AA212" s="75">
        <v>9463</v>
      </c>
      <c r="AB212" s="75">
        <v>8455.3000000000011</v>
      </c>
      <c r="AC212" s="75">
        <v>76097.7</v>
      </c>
      <c r="AD212" s="194">
        <v>325743.95</v>
      </c>
      <c r="AE212" s="194">
        <v>7227.6500000000005</v>
      </c>
      <c r="AF212" s="76">
        <v>0.1</v>
      </c>
      <c r="AG212" s="70">
        <v>3312.0500000000006</v>
      </c>
      <c r="AH212" s="31"/>
    </row>
    <row r="213" spans="3:34" x14ac:dyDescent="0.25">
      <c r="C213" s="72"/>
      <c r="D213" s="54">
        <v>204</v>
      </c>
      <c r="E213" s="70">
        <v>44493.59</v>
      </c>
      <c r="F213" s="75">
        <v>6449</v>
      </c>
      <c r="G213" s="75">
        <v>87567</v>
      </c>
      <c r="H213" s="194">
        <v>329056</v>
      </c>
      <c r="I213" s="194">
        <v>12341.76</v>
      </c>
      <c r="J213" s="75">
        <v>81753.173721494197</v>
      </c>
      <c r="K213" s="73"/>
      <c r="M213" s="72"/>
      <c r="N213" s="54">
        <v>204</v>
      </c>
      <c r="O213" s="70">
        <v>49105.194999999992</v>
      </c>
      <c r="P213" s="75">
        <v>14198</v>
      </c>
      <c r="Q213" s="75">
        <v>79818</v>
      </c>
      <c r="R213" s="194">
        <v>327316.745</v>
      </c>
      <c r="S213" s="194">
        <v>5990.9</v>
      </c>
      <c r="T213" s="70">
        <v>1739.2550000000008</v>
      </c>
      <c r="U213" s="80">
        <v>81753.173721494197</v>
      </c>
      <c r="V213" s="73"/>
      <c r="X213" s="30"/>
      <c r="Y213" s="54">
        <v>204</v>
      </c>
      <c r="Z213" s="70">
        <v>59453.65</v>
      </c>
      <c r="AA213" s="75">
        <v>12615</v>
      </c>
      <c r="AB213" s="75">
        <v>4274.45</v>
      </c>
      <c r="AC213" s="75">
        <v>81214.55</v>
      </c>
      <c r="AD213" s="194">
        <v>338948.75</v>
      </c>
      <c r="AE213" s="194">
        <v>7274.45</v>
      </c>
      <c r="AF213" s="76">
        <v>0.05</v>
      </c>
      <c r="AG213" s="70">
        <v>4415.2500000000009</v>
      </c>
      <c r="AH213" s="31"/>
    </row>
    <row r="214" spans="3:34" x14ac:dyDescent="0.25">
      <c r="C214" s="72"/>
      <c r="D214" s="54">
        <v>205</v>
      </c>
      <c r="E214" s="70">
        <v>58351.91</v>
      </c>
      <c r="F214" s="75">
        <v>8753</v>
      </c>
      <c r="G214" s="75">
        <v>89351</v>
      </c>
      <c r="H214" s="194">
        <v>343364</v>
      </c>
      <c r="I214" s="194">
        <v>12791.44</v>
      </c>
      <c r="J214" s="75">
        <v>81753.173721494197</v>
      </c>
      <c r="K214" s="73"/>
      <c r="M214" s="72"/>
      <c r="N214" s="54">
        <v>205</v>
      </c>
      <c r="O214" s="70">
        <v>35124.627500000002</v>
      </c>
      <c r="P214" s="75">
        <v>12501</v>
      </c>
      <c r="Q214" s="75">
        <v>77427</v>
      </c>
      <c r="R214" s="194">
        <v>313216.6275</v>
      </c>
      <c r="S214" s="194">
        <v>5871.35</v>
      </c>
      <c r="T214" s="70">
        <v>1531.3725000000006</v>
      </c>
      <c r="U214" s="80">
        <v>81753.173721494197</v>
      </c>
      <c r="V214" s="73"/>
      <c r="X214" s="30"/>
      <c r="Y214" s="54">
        <v>205</v>
      </c>
      <c r="Z214" s="70">
        <v>60312.250000000015</v>
      </c>
      <c r="AA214" s="75">
        <v>9753</v>
      </c>
      <c r="AB214" s="75">
        <v>5301.0599999999995</v>
      </c>
      <c r="AC214" s="75">
        <v>83049.94</v>
      </c>
      <c r="AD214" s="194">
        <v>339950.45</v>
      </c>
      <c r="AE214" s="194">
        <v>7417.55</v>
      </c>
      <c r="AF214" s="76">
        <v>0.06</v>
      </c>
      <c r="AG214" s="70">
        <v>3413.5500000000011</v>
      </c>
      <c r="AH214" s="31"/>
    </row>
    <row r="215" spans="3:34" x14ac:dyDescent="0.25">
      <c r="C215" s="72"/>
      <c r="D215" s="54">
        <v>206</v>
      </c>
      <c r="E215" s="70">
        <v>58351.91</v>
      </c>
      <c r="F215" s="75">
        <v>7686</v>
      </c>
      <c r="G215" s="75">
        <v>90418</v>
      </c>
      <c r="H215" s="194">
        <v>343364</v>
      </c>
      <c r="I215" s="194">
        <v>12791.44</v>
      </c>
      <c r="J215" s="75">
        <v>81753.173721494197</v>
      </c>
      <c r="K215" s="73"/>
      <c r="M215" s="72"/>
      <c r="N215" s="54">
        <v>206</v>
      </c>
      <c r="O215" s="70">
        <v>35376.854999999996</v>
      </c>
      <c r="P215" s="75">
        <v>9022</v>
      </c>
      <c r="Q215" s="75">
        <v>80906</v>
      </c>
      <c r="R215" s="194">
        <v>313642.80499999999</v>
      </c>
      <c r="S215" s="194">
        <v>6045.3</v>
      </c>
      <c r="T215" s="70">
        <v>1105.1950000000004</v>
      </c>
      <c r="U215" s="80">
        <v>81753.173721494197</v>
      </c>
      <c r="V215" s="73"/>
      <c r="X215" s="30"/>
      <c r="Y215" s="54">
        <v>206</v>
      </c>
      <c r="Z215" s="70">
        <v>46028.650000000009</v>
      </c>
      <c r="AA215" s="75">
        <v>10353</v>
      </c>
      <c r="AB215" s="75">
        <v>6693.04</v>
      </c>
      <c r="AC215" s="75">
        <v>76969.960000000006</v>
      </c>
      <c r="AD215" s="194">
        <v>325432.45</v>
      </c>
      <c r="AE215" s="194">
        <v>7183.1500000000005</v>
      </c>
      <c r="AF215" s="76">
        <v>0.08</v>
      </c>
      <c r="AG215" s="70">
        <v>3623.5500000000011</v>
      </c>
      <c r="AH215" s="31"/>
    </row>
    <row r="216" spans="3:34" x14ac:dyDescent="0.25">
      <c r="C216" s="72"/>
      <c r="D216" s="54">
        <v>207</v>
      </c>
      <c r="E216" s="70">
        <v>44493.59</v>
      </c>
      <c r="F216" s="75">
        <v>6668</v>
      </c>
      <c r="G216" s="75">
        <v>87348</v>
      </c>
      <c r="H216" s="194">
        <v>329056</v>
      </c>
      <c r="I216" s="194">
        <v>12341.76</v>
      </c>
      <c r="J216" s="75">
        <v>81753.173721494197</v>
      </c>
      <c r="K216" s="73"/>
      <c r="M216" s="72"/>
      <c r="N216" s="54">
        <v>207</v>
      </c>
      <c r="O216" s="70">
        <v>49128.829999999994</v>
      </c>
      <c r="P216" s="75">
        <v>13872</v>
      </c>
      <c r="Q216" s="75">
        <v>80144</v>
      </c>
      <c r="R216" s="194">
        <v>327356.68</v>
      </c>
      <c r="S216" s="194">
        <v>6007.2000000000007</v>
      </c>
      <c r="T216" s="70">
        <v>1699.3200000000008</v>
      </c>
      <c r="U216" s="80">
        <v>81753.173721494197</v>
      </c>
      <c r="V216" s="73"/>
      <c r="X216" s="30"/>
      <c r="Y216" s="54">
        <v>207</v>
      </c>
      <c r="Z216" s="70">
        <v>58804.449999999975</v>
      </c>
      <c r="AA216" s="75">
        <v>14779</v>
      </c>
      <c r="AB216" s="75">
        <v>5832.7500000000009</v>
      </c>
      <c r="AC216" s="75">
        <v>77492.25</v>
      </c>
      <c r="AD216" s="194">
        <v>338191.35</v>
      </c>
      <c r="AE216" s="194">
        <v>7166.25</v>
      </c>
      <c r="AF216" s="76">
        <v>7.0000000000000007E-2</v>
      </c>
      <c r="AG216" s="70">
        <v>5172.6500000000015</v>
      </c>
      <c r="AH216" s="31"/>
    </row>
    <row r="217" spans="3:34" x14ac:dyDescent="0.25">
      <c r="C217" s="72"/>
      <c r="D217" s="54">
        <v>208</v>
      </c>
      <c r="E217" s="70">
        <v>30635.27</v>
      </c>
      <c r="F217" s="75">
        <v>9023</v>
      </c>
      <c r="G217" s="75">
        <v>80905</v>
      </c>
      <c r="H217" s="194">
        <v>314748</v>
      </c>
      <c r="I217" s="194">
        <v>11892.08</v>
      </c>
      <c r="J217" s="75">
        <v>81753.173721494197</v>
      </c>
      <c r="K217" s="73"/>
      <c r="M217" s="72"/>
      <c r="N217" s="54">
        <v>208</v>
      </c>
      <c r="O217" s="70">
        <v>49236.057499999981</v>
      </c>
      <c r="P217" s="75">
        <v>12393</v>
      </c>
      <c r="Q217" s="75">
        <v>81623</v>
      </c>
      <c r="R217" s="194">
        <v>327537.85749999998</v>
      </c>
      <c r="S217" s="194">
        <v>6081.15</v>
      </c>
      <c r="T217" s="70">
        <v>1518.1425000000006</v>
      </c>
      <c r="U217" s="80">
        <v>81753.173721494197</v>
      </c>
      <c r="V217" s="73"/>
      <c r="X217" s="30"/>
      <c r="Y217" s="54">
        <v>208</v>
      </c>
      <c r="Z217" s="70">
        <v>31007.349999999988</v>
      </c>
      <c r="AA217" s="75">
        <v>13412</v>
      </c>
      <c r="AB217" s="75">
        <v>3825.8</v>
      </c>
      <c r="AC217" s="75">
        <v>72690.2</v>
      </c>
      <c r="AD217" s="194">
        <v>310053.8</v>
      </c>
      <c r="AE217" s="194">
        <v>6825.8</v>
      </c>
      <c r="AF217" s="76">
        <v>0.05</v>
      </c>
      <c r="AG217" s="70">
        <v>4694.2000000000016</v>
      </c>
      <c r="AH217" s="31"/>
    </row>
    <row r="218" spans="3:34" x14ac:dyDescent="0.25">
      <c r="C218" s="72"/>
      <c r="D218" s="54">
        <v>209</v>
      </c>
      <c r="E218" s="70">
        <v>58351.91</v>
      </c>
      <c r="F218" s="75">
        <v>8789</v>
      </c>
      <c r="G218" s="75">
        <v>89315</v>
      </c>
      <c r="H218" s="194">
        <v>343364</v>
      </c>
      <c r="I218" s="194">
        <v>12791.44</v>
      </c>
      <c r="J218" s="75">
        <v>81753.173721494197</v>
      </c>
      <c r="K218" s="73"/>
      <c r="M218" s="72"/>
      <c r="N218" s="54">
        <v>209</v>
      </c>
      <c r="O218" s="70">
        <v>63313.630000000005</v>
      </c>
      <c r="P218" s="75">
        <v>12752</v>
      </c>
      <c r="Q218" s="75">
        <v>85352</v>
      </c>
      <c r="R218" s="194">
        <v>341801.88</v>
      </c>
      <c r="S218" s="194">
        <v>6267.6</v>
      </c>
      <c r="T218" s="70">
        <v>1562.1200000000006</v>
      </c>
      <c r="U218" s="80">
        <v>81753.173721494197</v>
      </c>
      <c r="V218" s="73"/>
      <c r="X218" s="30"/>
      <c r="Y218" s="54">
        <v>209</v>
      </c>
      <c r="Z218" s="70">
        <v>30915.55000000001</v>
      </c>
      <c r="AA218" s="75">
        <v>13718</v>
      </c>
      <c r="AB218" s="75">
        <v>4572.5999999999995</v>
      </c>
      <c r="AC218" s="75">
        <v>71637.399999999994</v>
      </c>
      <c r="AD218" s="194">
        <v>309946.7</v>
      </c>
      <c r="AE218" s="194">
        <v>6810.5</v>
      </c>
      <c r="AF218" s="76">
        <v>0.06</v>
      </c>
      <c r="AG218" s="70">
        <v>4801.3000000000011</v>
      </c>
      <c r="AH218" s="31"/>
    </row>
    <row r="219" spans="3:34" x14ac:dyDescent="0.25">
      <c r="C219" s="72"/>
      <c r="D219" s="54">
        <v>210</v>
      </c>
      <c r="E219" s="70">
        <v>44493.59</v>
      </c>
      <c r="F219" s="75">
        <v>4771</v>
      </c>
      <c r="G219" s="75">
        <v>89245</v>
      </c>
      <c r="H219" s="194">
        <v>329056</v>
      </c>
      <c r="I219" s="194">
        <v>12341.76</v>
      </c>
      <c r="J219" s="75">
        <v>81753.173721494197</v>
      </c>
      <c r="K219" s="73"/>
      <c r="M219" s="72"/>
      <c r="N219" s="54">
        <v>210</v>
      </c>
      <c r="O219" s="70">
        <v>35320.015000000014</v>
      </c>
      <c r="P219" s="75">
        <v>9806</v>
      </c>
      <c r="Q219" s="75">
        <v>80122</v>
      </c>
      <c r="R219" s="194">
        <v>313546.76500000001</v>
      </c>
      <c r="S219" s="194">
        <v>6006.1</v>
      </c>
      <c r="T219" s="70">
        <v>1201.2350000000006</v>
      </c>
      <c r="U219" s="80">
        <v>81753.173721494197</v>
      </c>
      <c r="V219" s="73"/>
      <c r="X219" s="30"/>
      <c r="Y219" s="54">
        <v>210</v>
      </c>
      <c r="Z219" s="70">
        <v>45467.05</v>
      </c>
      <c r="AA219" s="75">
        <v>12225</v>
      </c>
      <c r="AB219" s="75">
        <v>4907.46</v>
      </c>
      <c r="AC219" s="75">
        <v>76883.539999999994</v>
      </c>
      <c r="AD219" s="194">
        <v>324777.25</v>
      </c>
      <c r="AE219" s="194">
        <v>7089.55</v>
      </c>
      <c r="AF219" s="76">
        <v>0.06</v>
      </c>
      <c r="AG219" s="70">
        <v>4278.7500000000009</v>
      </c>
      <c r="AH219" s="31"/>
    </row>
    <row r="220" spans="3:34" x14ac:dyDescent="0.25">
      <c r="C220" s="72"/>
      <c r="D220" s="54">
        <v>211</v>
      </c>
      <c r="E220" s="70">
        <v>58351.91</v>
      </c>
      <c r="F220" s="75">
        <v>8785</v>
      </c>
      <c r="G220" s="75">
        <v>89319</v>
      </c>
      <c r="H220" s="194">
        <v>343364</v>
      </c>
      <c r="I220" s="194">
        <v>12791.44</v>
      </c>
      <c r="J220" s="75">
        <v>81753.173721494197</v>
      </c>
      <c r="K220" s="73"/>
      <c r="M220" s="72"/>
      <c r="N220" s="54">
        <v>211</v>
      </c>
      <c r="O220" s="70">
        <v>49185.669999999969</v>
      </c>
      <c r="P220" s="75">
        <v>13088</v>
      </c>
      <c r="Q220" s="75">
        <v>80928</v>
      </c>
      <c r="R220" s="194">
        <v>327452.71999999997</v>
      </c>
      <c r="S220" s="194">
        <v>6046.4</v>
      </c>
      <c r="T220" s="70">
        <v>1603.2800000000007</v>
      </c>
      <c r="U220" s="80">
        <v>81753.173721494197</v>
      </c>
      <c r="V220" s="73"/>
      <c r="X220" s="30"/>
      <c r="Y220" s="54">
        <v>211</v>
      </c>
      <c r="Z220" s="70">
        <v>59395.15</v>
      </c>
      <c r="AA220" s="75">
        <v>12810</v>
      </c>
      <c r="AB220" s="75">
        <v>6823.52</v>
      </c>
      <c r="AC220" s="75">
        <v>78470.48</v>
      </c>
      <c r="AD220" s="194">
        <v>338880.5</v>
      </c>
      <c r="AE220" s="194">
        <v>7264.7</v>
      </c>
      <c r="AF220" s="76">
        <v>0.08</v>
      </c>
      <c r="AG220" s="70">
        <v>4483.5000000000009</v>
      </c>
      <c r="AH220" s="31"/>
    </row>
    <row r="221" spans="3:34" x14ac:dyDescent="0.25">
      <c r="C221" s="72"/>
      <c r="D221" s="54">
        <v>212</v>
      </c>
      <c r="E221" s="70">
        <v>30635.27</v>
      </c>
      <c r="F221" s="75">
        <v>7334</v>
      </c>
      <c r="G221" s="75">
        <v>82594</v>
      </c>
      <c r="H221" s="194">
        <v>314748</v>
      </c>
      <c r="I221" s="194">
        <v>11892.08</v>
      </c>
      <c r="J221" s="75">
        <v>81753.173721494197</v>
      </c>
      <c r="K221" s="73"/>
      <c r="M221" s="72"/>
      <c r="N221" s="54">
        <v>212</v>
      </c>
      <c r="O221" s="70">
        <v>63244.465000000011</v>
      </c>
      <c r="P221" s="75">
        <v>13706</v>
      </c>
      <c r="Q221" s="75">
        <v>84398</v>
      </c>
      <c r="R221" s="194">
        <v>341685.01500000001</v>
      </c>
      <c r="S221" s="194">
        <v>6219.9000000000005</v>
      </c>
      <c r="T221" s="70">
        <v>1678.9850000000008</v>
      </c>
      <c r="U221" s="80">
        <v>81753.173721494197</v>
      </c>
      <c r="V221" s="73"/>
      <c r="X221" s="30"/>
      <c r="Y221" s="54">
        <v>212</v>
      </c>
      <c r="Z221" s="70">
        <v>45240.250000000022</v>
      </c>
      <c r="AA221" s="75">
        <v>12981</v>
      </c>
      <c r="AB221" s="75">
        <v>4051.75</v>
      </c>
      <c r="AC221" s="75">
        <v>76983.25</v>
      </c>
      <c r="AD221" s="194">
        <v>324512.65000000002</v>
      </c>
      <c r="AE221" s="194">
        <v>7051.75</v>
      </c>
      <c r="AF221" s="76">
        <v>0.05</v>
      </c>
      <c r="AG221" s="70">
        <v>4543.3500000000013</v>
      </c>
      <c r="AH221" s="31"/>
    </row>
    <row r="222" spans="3:34" x14ac:dyDescent="0.25">
      <c r="C222" s="72"/>
      <c r="D222" s="54">
        <v>213</v>
      </c>
      <c r="E222" s="70">
        <v>44493.59</v>
      </c>
      <c r="F222" s="75">
        <v>5543</v>
      </c>
      <c r="G222" s="75">
        <v>88473</v>
      </c>
      <c r="H222" s="194">
        <v>329056</v>
      </c>
      <c r="I222" s="194">
        <v>12341.76</v>
      </c>
      <c r="J222" s="75">
        <v>81753.173721494197</v>
      </c>
      <c r="K222" s="73"/>
      <c r="M222" s="72"/>
      <c r="N222" s="54">
        <v>213</v>
      </c>
      <c r="O222" s="70">
        <v>49386.06</v>
      </c>
      <c r="P222" s="75">
        <v>10324</v>
      </c>
      <c r="Q222" s="75">
        <v>83692</v>
      </c>
      <c r="R222" s="194">
        <v>327791.31</v>
      </c>
      <c r="S222" s="194">
        <v>6184.6</v>
      </c>
      <c r="T222" s="70">
        <v>1264.6900000000005</v>
      </c>
      <c r="U222" s="80">
        <v>81753.173721494197</v>
      </c>
      <c r="V222" s="73"/>
      <c r="X222" s="30"/>
      <c r="Y222" s="54">
        <v>213</v>
      </c>
      <c r="Z222" s="70">
        <v>58847.35000000002</v>
      </c>
      <c r="AA222" s="75">
        <v>14636</v>
      </c>
      <c r="AB222" s="75">
        <v>6677.4400000000005</v>
      </c>
      <c r="AC222" s="75">
        <v>76790.559999999998</v>
      </c>
      <c r="AD222" s="194">
        <v>338241.4</v>
      </c>
      <c r="AE222" s="194">
        <v>7173.4000000000005</v>
      </c>
      <c r="AF222" s="76">
        <v>0.08</v>
      </c>
      <c r="AG222" s="70">
        <v>5122.6000000000013</v>
      </c>
      <c r="AH222" s="31"/>
    </row>
    <row r="223" spans="3:34" x14ac:dyDescent="0.25">
      <c r="C223" s="72"/>
      <c r="D223" s="54">
        <v>214</v>
      </c>
      <c r="E223" s="70">
        <v>44493.59</v>
      </c>
      <c r="F223" s="75">
        <v>6460</v>
      </c>
      <c r="G223" s="75">
        <v>87556</v>
      </c>
      <c r="H223" s="194">
        <v>329056</v>
      </c>
      <c r="I223" s="194">
        <v>12341.76</v>
      </c>
      <c r="J223" s="75">
        <v>81753.173721494197</v>
      </c>
      <c r="K223" s="73"/>
      <c r="M223" s="72"/>
      <c r="N223" s="54">
        <v>214</v>
      </c>
      <c r="O223" s="70">
        <v>63459.935000000019</v>
      </c>
      <c r="P223" s="75">
        <v>10734</v>
      </c>
      <c r="Q223" s="75">
        <v>87370</v>
      </c>
      <c r="R223" s="194">
        <v>342049.08500000002</v>
      </c>
      <c r="S223" s="194">
        <v>6368.5</v>
      </c>
      <c r="T223" s="70">
        <v>1314.9150000000006</v>
      </c>
      <c r="U223" s="80">
        <v>81753.173721494197</v>
      </c>
      <c r="V223" s="73"/>
      <c r="X223" s="30"/>
      <c r="Y223" s="54">
        <v>214</v>
      </c>
      <c r="Z223" s="70">
        <v>45492.55</v>
      </c>
      <c r="AA223" s="75">
        <v>12140</v>
      </c>
      <c r="AB223" s="75">
        <v>7368.84</v>
      </c>
      <c r="AC223" s="75">
        <v>74507.16</v>
      </c>
      <c r="AD223" s="194">
        <v>324807</v>
      </c>
      <c r="AE223" s="194">
        <v>7093.8</v>
      </c>
      <c r="AF223" s="76">
        <v>0.09</v>
      </c>
      <c r="AG223" s="70">
        <v>4249.0000000000009</v>
      </c>
      <c r="AH223" s="31"/>
    </row>
    <row r="224" spans="3:34" x14ac:dyDescent="0.25">
      <c r="C224" s="72"/>
      <c r="D224" s="54">
        <v>215</v>
      </c>
      <c r="E224" s="70">
        <v>86065.16</v>
      </c>
      <c r="F224" s="75">
        <v>10759</v>
      </c>
      <c r="G224" s="75">
        <v>95520</v>
      </c>
      <c r="H224" s="194">
        <v>371976.5</v>
      </c>
      <c r="I224" s="194">
        <v>13690.69</v>
      </c>
      <c r="J224" s="75">
        <v>81753.173721494197</v>
      </c>
      <c r="K224" s="73"/>
      <c r="M224" s="72"/>
      <c r="N224" s="54">
        <v>215</v>
      </c>
      <c r="O224" s="70">
        <v>63167.542499999981</v>
      </c>
      <c r="P224" s="75">
        <v>14767</v>
      </c>
      <c r="Q224" s="75">
        <v>83337</v>
      </c>
      <c r="R224" s="194">
        <v>341555.04249999998</v>
      </c>
      <c r="S224" s="194">
        <v>6166.85</v>
      </c>
      <c r="T224" s="70">
        <v>1808.9575000000009</v>
      </c>
      <c r="U224" s="80">
        <v>81753.173721494197</v>
      </c>
      <c r="V224" s="73"/>
      <c r="X224" s="30"/>
      <c r="Y224" s="54">
        <v>215</v>
      </c>
      <c r="Z224" s="70">
        <v>59138.949999999975</v>
      </c>
      <c r="AA224" s="75">
        <v>13664</v>
      </c>
      <c r="AB224" s="75">
        <v>5910.8</v>
      </c>
      <c r="AC224" s="75">
        <v>78529.2</v>
      </c>
      <c r="AD224" s="194">
        <v>338581.6</v>
      </c>
      <c r="AE224" s="194">
        <v>7222</v>
      </c>
      <c r="AF224" s="76">
        <v>7.0000000000000007E-2</v>
      </c>
      <c r="AG224" s="70">
        <v>4782.4000000000015</v>
      </c>
      <c r="AH224" s="31"/>
    </row>
    <row r="225" spans="3:34" x14ac:dyDescent="0.25">
      <c r="C225" s="72"/>
      <c r="D225" s="54">
        <v>216</v>
      </c>
      <c r="E225" s="70">
        <v>86065.16</v>
      </c>
      <c r="F225" s="75">
        <v>5320</v>
      </c>
      <c r="G225" s="75">
        <v>100959</v>
      </c>
      <c r="H225" s="194">
        <v>371976.5</v>
      </c>
      <c r="I225" s="194">
        <v>13690.69</v>
      </c>
      <c r="J225" s="75">
        <v>81753.173721494197</v>
      </c>
      <c r="K225" s="73"/>
      <c r="M225" s="72"/>
      <c r="N225" s="54">
        <v>216</v>
      </c>
      <c r="O225" s="70">
        <v>49397.152499999989</v>
      </c>
      <c r="P225" s="75">
        <v>10171</v>
      </c>
      <c r="Q225" s="75">
        <v>83845</v>
      </c>
      <c r="R225" s="194">
        <v>327810.05249999999</v>
      </c>
      <c r="S225" s="194">
        <v>6192.25</v>
      </c>
      <c r="T225" s="70">
        <v>1245.9475000000004</v>
      </c>
      <c r="U225" s="80">
        <v>81753.173721494197</v>
      </c>
      <c r="V225" s="73"/>
      <c r="X225" s="30"/>
      <c r="Y225" s="54">
        <v>216</v>
      </c>
      <c r="Z225" s="70">
        <v>58772.949999999975</v>
      </c>
      <c r="AA225" s="75">
        <v>14884</v>
      </c>
      <c r="AB225" s="75">
        <v>4993.2</v>
      </c>
      <c r="AC225" s="75">
        <v>78226.8</v>
      </c>
      <c r="AD225" s="194">
        <v>338154.6</v>
      </c>
      <c r="AE225" s="194">
        <v>7161</v>
      </c>
      <c r="AF225" s="76">
        <v>0.06</v>
      </c>
      <c r="AG225" s="70">
        <v>5209.4000000000015</v>
      </c>
      <c r="AH225" s="31"/>
    </row>
    <row r="226" spans="3:34" x14ac:dyDescent="0.25">
      <c r="C226" s="72"/>
      <c r="D226" s="54">
        <v>217</v>
      </c>
      <c r="E226" s="70">
        <v>44493.59</v>
      </c>
      <c r="F226" s="75">
        <v>6547</v>
      </c>
      <c r="G226" s="75">
        <v>87469</v>
      </c>
      <c r="H226" s="194">
        <v>329056</v>
      </c>
      <c r="I226" s="194">
        <v>12341.76</v>
      </c>
      <c r="J226" s="75">
        <v>81753.173721494197</v>
      </c>
      <c r="K226" s="73"/>
      <c r="M226" s="72"/>
      <c r="N226" s="54">
        <v>217</v>
      </c>
      <c r="O226" s="70">
        <v>63298.985000000008</v>
      </c>
      <c r="P226" s="75">
        <v>12954</v>
      </c>
      <c r="Q226" s="75">
        <v>85150</v>
      </c>
      <c r="R226" s="194">
        <v>341777.13500000001</v>
      </c>
      <c r="S226" s="194">
        <v>6257.5</v>
      </c>
      <c r="T226" s="70">
        <v>1586.8650000000007</v>
      </c>
      <c r="U226" s="80">
        <v>81753.173721494197</v>
      </c>
      <c r="V226" s="73"/>
      <c r="X226" s="30"/>
      <c r="Y226" s="54">
        <v>217</v>
      </c>
      <c r="Z226" s="70">
        <v>44884.750000000022</v>
      </c>
      <c r="AA226" s="75">
        <v>14166</v>
      </c>
      <c r="AB226" s="75">
        <v>7985</v>
      </c>
      <c r="AC226" s="75">
        <v>71865</v>
      </c>
      <c r="AD226" s="194">
        <v>324097.90000000002</v>
      </c>
      <c r="AE226" s="194">
        <v>6992.5</v>
      </c>
      <c r="AF226" s="76">
        <v>0.1</v>
      </c>
      <c r="AG226" s="70">
        <v>4958.1000000000013</v>
      </c>
      <c r="AH226" s="31"/>
    </row>
    <row r="227" spans="3:34" x14ac:dyDescent="0.25">
      <c r="C227" s="72"/>
      <c r="D227" s="54">
        <v>218</v>
      </c>
      <c r="E227" s="70">
        <v>58351.91</v>
      </c>
      <c r="F227" s="75">
        <v>8781</v>
      </c>
      <c r="G227" s="75">
        <v>89323</v>
      </c>
      <c r="H227" s="194">
        <v>343364</v>
      </c>
      <c r="I227" s="194">
        <v>12791.44</v>
      </c>
      <c r="J227" s="75">
        <v>81753.173721494197</v>
      </c>
      <c r="K227" s="73"/>
      <c r="M227" s="72"/>
      <c r="N227" s="54">
        <v>218</v>
      </c>
      <c r="O227" s="70">
        <v>49392.222499999974</v>
      </c>
      <c r="P227" s="75">
        <v>10239</v>
      </c>
      <c r="Q227" s="75">
        <v>83777</v>
      </c>
      <c r="R227" s="194">
        <v>327801.72249999997</v>
      </c>
      <c r="S227" s="194">
        <v>6188.85</v>
      </c>
      <c r="T227" s="70">
        <v>1254.2775000000006</v>
      </c>
      <c r="U227" s="80">
        <v>81753.173721494197</v>
      </c>
      <c r="V227" s="73"/>
      <c r="X227" s="30"/>
      <c r="Y227" s="54">
        <v>218</v>
      </c>
      <c r="Z227" s="70">
        <v>59114.049999999988</v>
      </c>
      <c r="AA227" s="75">
        <v>13747</v>
      </c>
      <c r="AB227" s="75">
        <v>6748.56</v>
      </c>
      <c r="AC227" s="75">
        <v>77608.44</v>
      </c>
      <c r="AD227" s="194">
        <v>338552.55</v>
      </c>
      <c r="AE227" s="194">
        <v>7217.85</v>
      </c>
      <c r="AF227" s="76">
        <v>0.08</v>
      </c>
      <c r="AG227" s="70">
        <v>4811.4500000000016</v>
      </c>
      <c r="AH227" s="31"/>
    </row>
    <row r="228" spans="3:34" x14ac:dyDescent="0.25">
      <c r="C228" s="72"/>
      <c r="D228" s="54">
        <v>219</v>
      </c>
      <c r="E228" s="70">
        <v>86065.16</v>
      </c>
      <c r="F228" s="75">
        <v>10580</v>
      </c>
      <c r="G228" s="75">
        <v>95699</v>
      </c>
      <c r="H228" s="194">
        <v>371976.5</v>
      </c>
      <c r="I228" s="194">
        <v>13690.69</v>
      </c>
      <c r="J228" s="75">
        <v>81753.173721494197</v>
      </c>
      <c r="K228" s="73"/>
      <c r="M228" s="72"/>
      <c r="N228" s="54">
        <v>219</v>
      </c>
      <c r="O228" s="70">
        <v>35320.305000000008</v>
      </c>
      <c r="P228" s="75">
        <v>9802</v>
      </c>
      <c r="Q228" s="75">
        <v>80126</v>
      </c>
      <c r="R228" s="194">
        <v>313547.255</v>
      </c>
      <c r="S228" s="194">
        <v>6006.3</v>
      </c>
      <c r="T228" s="70">
        <v>1200.7450000000006</v>
      </c>
      <c r="U228" s="80">
        <v>81753.173721494197</v>
      </c>
      <c r="V228" s="73"/>
      <c r="X228" s="30"/>
      <c r="Y228" s="54">
        <v>219</v>
      </c>
      <c r="Z228" s="70">
        <v>45232.150000000009</v>
      </c>
      <c r="AA228" s="75">
        <v>13008</v>
      </c>
      <c r="AB228" s="75">
        <v>5670.56</v>
      </c>
      <c r="AC228" s="75">
        <v>75337.440000000002</v>
      </c>
      <c r="AD228" s="194">
        <v>324503.2</v>
      </c>
      <c r="AE228" s="194">
        <v>7050.4</v>
      </c>
      <c r="AF228" s="76">
        <v>7.0000000000000007E-2</v>
      </c>
      <c r="AG228" s="70">
        <v>4552.8000000000011</v>
      </c>
      <c r="AH228" s="31"/>
    </row>
    <row r="229" spans="3:34" x14ac:dyDescent="0.25">
      <c r="C229" s="72"/>
      <c r="D229" s="54">
        <v>220</v>
      </c>
      <c r="E229" s="70">
        <v>58351.91</v>
      </c>
      <c r="F229" s="75">
        <v>4985</v>
      </c>
      <c r="G229" s="75">
        <v>93119</v>
      </c>
      <c r="H229" s="194">
        <v>343364</v>
      </c>
      <c r="I229" s="194">
        <v>12791.44</v>
      </c>
      <c r="J229" s="75">
        <v>81753.173721494197</v>
      </c>
      <c r="K229" s="73"/>
      <c r="M229" s="72"/>
      <c r="N229" s="54">
        <v>220</v>
      </c>
      <c r="O229" s="70">
        <v>63383.229999999981</v>
      </c>
      <c r="P229" s="75">
        <v>11792</v>
      </c>
      <c r="Q229" s="75">
        <v>86312</v>
      </c>
      <c r="R229" s="194">
        <v>341919.48</v>
      </c>
      <c r="S229" s="194">
        <v>6315.6</v>
      </c>
      <c r="T229" s="70">
        <v>1444.5200000000007</v>
      </c>
      <c r="U229" s="80">
        <v>81753.173721494197</v>
      </c>
      <c r="V229" s="73"/>
      <c r="X229" s="30"/>
      <c r="Y229" s="54">
        <v>220</v>
      </c>
      <c r="Z229" s="70">
        <v>31752.849999999988</v>
      </c>
      <c r="AA229" s="75">
        <v>10927</v>
      </c>
      <c r="AB229" s="75">
        <v>4740.0599999999995</v>
      </c>
      <c r="AC229" s="75">
        <v>74260.94</v>
      </c>
      <c r="AD229" s="194">
        <v>310923.55</v>
      </c>
      <c r="AE229" s="194">
        <v>6950.05</v>
      </c>
      <c r="AF229" s="76">
        <v>0.06</v>
      </c>
      <c r="AG229" s="70">
        <v>3824.4500000000012</v>
      </c>
      <c r="AH229" s="31"/>
    </row>
    <row r="230" spans="3:34" x14ac:dyDescent="0.25">
      <c r="C230" s="72"/>
      <c r="D230" s="54">
        <v>221</v>
      </c>
      <c r="E230" s="70">
        <v>30635.27</v>
      </c>
      <c r="F230" s="75">
        <v>7111</v>
      </c>
      <c r="G230" s="75">
        <v>82817</v>
      </c>
      <c r="H230" s="194">
        <v>314748</v>
      </c>
      <c r="I230" s="194">
        <v>11892.08</v>
      </c>
      <c r="J230" s="75">
        <v>81753.173721494197</v>
      </c>
      <c r="K230" s="73"/>
      <c r="M230" s="72"/>
      <c r="N230" s="54">
        <v>221</v>
      </c>
      <c r="O230" s="70">
        <v>35103.022499999999</v>
      </c>
      <c r="P230" s="75">
        <v>12799</v>
      </c>
      <c r="Q230" s="75">
        <v>77129</v>
      </c>
      <c r="R230" s="194">
        <v>313180.1225</v>
      </c>
      <c r="S230" s="194">
        <v>5856.4500000000007</v>
      </c>
      <c r="T230" s="70">
        <v>1567.8775000000007</v>
      </c>
      <c r="U230" s="80">
        <v>81753.173721494197</v>
      </c>
      <c r="V230" s="73"/>
      <c r="X230" s="30"/>
      <c r="Y230" s="54">
        <v>221</v>
      </c>
      <c r="Z230" s="70">
        <v>30952.150000000023</v>
      </c>
      <c r="AA230" s="75">
        <v>13596</v>
      </c>
      <c r="AB230" s="75">
        <v>6106.56</v>
      </c>
      <c r="AC230" s="75">
        <v>70225.440000000002</v>
      </c>
      <c r="AD230" s="194">
        <v>309989.40000000002</v>
      </c>
      <c r="AE230" s="194">
        <v>6816.6</v>
      </c>
      <c r="AF230" s="76">
        <v>0.08</v>
      </c>
      <c r="AG230" s="70">
        <v>4758.6000000000013</v>
      </c>
      <c r="AH230" s="31"/>
    </row>
    <row r="231" spans="3:34" x14ac:dyDescent="0.25">
      <c r="C231" s="72"/>
      <c r="D231" s="54">
        <v>222</v>
      </c>
      <c r="E231" s="70">
        <v>30635.27</v>
      </c>
      <c r="F231" s="75">
        <v>8193</v>
      </c>
      <c r="G231" s="75">
        <v>81735</v>
      </c>
      <c r="H231" s="194">
        <v>314748</v>
      </c>
      <c r="I231" s="194">
        <v>11892.08</v>
      </c>
      <c r="J231" s="75">
        <v>81753.173721494197</v>
      </c>
      <c r="K231" s="73"/>
      <c r="M231" s="72"/>
      <c r="N231" s="54">
        <v>222</v>
      </c>
      <c r="O231" s="70">
        <v>63530.912500000013</v>
      </c>
      <c r="P231" s="75">
        <v>9755</v>
      </c>
      <c r="Q231" s="75">
        <v>88349</v>
      </c>
      <c r="R231" s="194">
        <v>342169.01250000001</v>
      </c>
      <c r="S231" s="194">
        <v>6417.45</v>
      </c>
      <c r="T231" s="70">
        <v>1194.9875000000004</v>
      </c>
      <c r="U231" s="80">
        <v>81753.173721494197</v>
      </c>
      <c r="V231" s="73"/>
      <c r="X231" s="30"/>
      <c r="Y231" s="54">
        <v>222</v>
      </c>
      <c r="Z231" s="70">
        <v>87041.799999999988</v>
      </c>
      <c r="AA231" s="75">
        <v>14667</v>
      </c>
      <c r="AB231" s="75">
        <v>7328.96</v>
      </c>
      <c r="AC231" s="75">
        <v>84283.04</v>
      </c>
      <c r="AD231" s="194">
        <v>366843.05</v>
      </c>
      <c r="AE231" s="194">
        <v>7580.6</v>
      </c>
      <c r="AF231" s="76">
        <v>0.08</v>
      </c>
      <c r="AG231" s="70">
        <v>5133.4500000000016</v>
      </c>
      <c r="AH231" s="31"/>
    </row>
    <row r="232" spans="3:34" x14ac:dyDescent="0.25">
      <c r="C232" s="72"/>
      <c r="D232" s="54">
        <v>223</v>
      </c>
      <c r="E232" s="70">
        <v>30635.27</v>
      </c>
      <c r="F232" s="75">
        <v>7946</v>
      </c>
      <c r="G232" s="75">
        <v>81982</v>
      </c>
      <c r="H232" s="194">
        <v>314748</v>
      </c>
      <c r="I232" s="194">
        <v>11892.08</v>
      </c>
      <c r="J232" s="75">
        <v>81753.173721494197</v>
      </c>
      <c r="K232" s="73"/>
      <c r="M232" s="72"/>
      <c r="N232" s="54">
        <v>223</v>
      </c>
      <c r="O232" s="70">
        <v>49189.585000000021</v>
      </c>
      <c r="P232" s="75">
        <v>13034</v>
      </c>
      <c r="Q232" s="75">
        <v>80982</v>
      </c>
      <c r="R232" s="194">
        <v>327459.33500000002</v>
      </c>
      <c r="S232" s="194">
        <v>6049.1</v>
      </c>
      <c r="T232" s="70">
        <v>1596.6650000000006</v>
      </c>
      <c r="U232" s="80">
        <v>81753.173721494197</v>
      </c>
      <c r="V232" s="73"/>
      <c r="X232" s="30"/>
      <c r="Y232" s="54">
        <v>223</v>
      </c>
      <c r="Z232" s="70">
        <v>31454.349999999988</v>
      </c>
      <c r="AA232" s="75">
        <v>11922</v>
      </c>
      <c r="AB232" s="75">
        <v>7800.6</v>
      </c>
      <c r="AC232" s="75">
        <v>70205.399999999994</v>
      </c>
      <c r="AD232" s="194">
        <v>310575.3</v>
      </c>
      <c r="AE232" s="194">
        <v>6900.3</v>
      </c>
      <c r="AF232" s="76">
        <v>0.1</v>
      </c>
      <c r="AG232" s="70">
        <v>4172.7000000000007</v>
      </c>
      <c r="AH232" s="31"/>
    </row>
    <row r="233" spans="3:34" x14ac:dyDescent="0.25">
      <c r="C233" s="72"/>
      <c r="D233" s="54">
        <v>224</v>
      </c>
      <c r="E233" s="70">
        <v>44493.59</v>
      </c>
      <c r="F233" s="75">
        <v>8451</v>
      </c>
      <c r="G233" s="75">
        <v>85565</v>
      </c>
      <c r="H233" s="194">
        <v>329056</v>
      </c>
      <c r="I233" s="194">
        <v>12341.76</v>
      </c>
      <c r="J233" s="75">
        <v>81753.173721494197</v>
      </c>
      <c r="K233" s="73"/>
      <c r="M233" s="72"/>
      <c r="N233" s="54">
        <v>224</v>
      </c>
      <c r="O233" s="70">
        <v>91443.647499999992</v>
      </c>
      <c r="P233" s="75">
        <v>13769</v>
      </c>
      <c r="Q233" s="75">
        <v>92510</v>
      </c>
      <c r="R233" s="194">
        <v>370289.79749999999</v>
      </c>
      <c r="S233" s="194">
        <v>6625.5</v>
      </c>
      <c r="T233" s="70">
        <v>1686.7025000000008</v>
      </c>
      <c r="U233" s="80">
        <v>81753.173721494197</v>
      </c>
      <c r="V233" s="73"/>
      <c r="X233" s="30"/>
      <c r="Y233" s="54">
        <v>224</v>
      </c>
      <c r="Z233" s="70">
        <v>60309.250000000015</v>
      </c>
      <c r="AA233" s="75">
        <v>9763</v>
      </c>
      <c r="AB233" s="75">
        <v>6183.8700000000008</v>
      </c>
      <c r="AC233" s="75">
        <v>82157.13</v>
      </c>
      <c r="AD233" s="194">
        <v>339946.95</v>
      </c>
      <c r="AE233" s="194">
        <v>7417.05</v>
      </c>
      <c r="AF233" s="76">
        <v>7.0000000000000007E-2</v>
      </c>
      <c r="AG233" s="70">
        <v>3417.0500000000011</v>
      </c>
      <c r="AH233" s="31"/>
    </row>
    <row r="234" spans="3:34" x14ac:dyDescent="0.25">
      <c r="C234" s="72"/>
      <c r="D234" s="54">
        <v>225</v>
      </c>
      <c r="E234" s="70">
        <v>86065.16</v>
      </c>
      <c r="F234" s="75">
        <v>6333</v>
      </c>
      <c r="G234" s="75">
        <v>99946</v>
      </c>
      <c r="H234" s="194">
        <v>371976.5</v>
      </c>
      <c r="I234" s="194">
        <v>13690.69</v>
      </c>
      <c r="J234" s="75">
        <v>81753.173721494197</v>
      </c>
      <c r="K234" s="73"/>
      <c r="M234" s="72"/>
      <c r="N234" s="54">
        <v>225</v>
      </c>
      <c r="O234" s="70">
        <v>35312.257499999971</v>
      </c>
      <c r="P234" s="75">
        <v>9913</v>
      </c>
      <c r="Q234" s="75">
        <v>80015</v>
      </c>
      <c r="R234" s="194">
        <v>313533.65749999997</v>
      </c>
      <c r="S234" s="194">
        <v>6000.75</v>
      </c>
      <c r="T234" s="70">
        <v>1214.3425000000004</v>
      </c>
      <c r="U234" s="80">
        <v>81753.173721494197</v>
      </c>
      <c r="V234" s="73"/>
      <c r="X234" s="30"/>
      <c r="Y234" s="54">
        <v>225</v>
      </c>
      <c r="Z234" s="70">
        <v>32078.95</v>
      </c>
      <c r="AA234" s="75">
        <v>9840</v>
      </c>
      <c r="AB234" s="75">
        <v>5606.1600000000008</v>
      </c>
      <c r="AC234" s="75">
        <v>74481.84</v>
      </c>
      <c r="AD234" s="194">
        <v>311304</v>
      </c>
      <c r="AE234" s="194">
        <v>7004.4</v>
      </c>
      <c r="AF234" s="76">
        <v>7.0000000000000007E-2</v>
      </c>
      <c r="AG234" s="70">
        <v>3444.0000000000009</v>
      </c>
      <c r="AH234" s="31"/>
    </row>
    <row r="235" spans="3:34" x14ac:dyDescent="0.25">
      <c r="C235" s="72"/>
      <c r="D235" s="54">
        <v>226</v>
      </c>
      <c r="E235" s="70">
        <v>44493.59</v>
      </c>
      <c r="F235" s="75">
        <v>7335</v>
      </c>
      <c r="G235" s="75">
        <v>86681</v>
      </c>
      <c r="H235" s="194">
        <v>329056</v>
      </c>
      <c r="I235" s="194">
        <v>12341.76</v>
      </c>
      <c r="J235" s="75">
        <v>81753.173721494197</v>
      </c>
      <c r="K235" s="73"/>
      <c r="M235" s="72"/>
      <c r="N235" s="54">
        <v>226</v>
      </c>
      <c r="O235" s="70">
        <v>91420.737500000017</v>
      </c>
      <c r="P235" s="75">
        <v>14085</v>
      </c>
      <c r="Q235" s="75">
        <v>92194</v>
      </c>
      <c r="R235" s="194">
        <v>370251.08750000002</v>
      </c>
      <c r="S235" s="194">
        <v>6609.7</v>
      </c>
      <c r="T235" s="70">
        <v>1725.4125000000008</v>
      </c>
      <c r="U235" s="80">
        <v>81753.173721494197</v>
      </c>
      <c r="V235" s="73"/>
      <c r="X235" s="30"/>
      <c r="Y235" s="54">
        <v>226</v>
      </c>
      <c r="Z235" s="70">
        <v>58764.549999999988</v>
      </c>
      <c r="AA235" s="75">
        <v>14912</v>
      </c>
      <c r="AB235" s="75">
        <v>8319.2000000000007</v>
      </c>
      <c r="AC235" s="75">
        <v>74872.800000000003</v>
      </c>
      <c r="AD235" s="194">
        <v>338144.8</v>
      </c>
      <c r="AE235" s="194">
        <v>7159.6</v>
      </c>
      <c r="AF235" s="76">
        <v>0.1</v>
      </c>
      <c r="AG235" s="70">
        <v>5219.2000000000016</v>
      </c>
      <c r="AH235" s="31"/>
    </row>
    <row r="236" spans="3:34" x14ac:dyDescent="0.25">
      <c r="C236" s="72"/>
      <c r="D236" s="54">
        <v>227</v>
      </c>
      <c r="E236" s="70">
        <v>58351.91</v>
      </c>
      <c r="F236" s="75">
        <v>5822</v>
      </c>
      <c r="G236" s="75">
        <v>92282</v>
      </c>
      <c r="H236" s="194">
        <v>343364</v>
      </c>
      <c r="I236" s="194">
        <v>12791.44</v>
      </c>
      <c r="J236" s="75">
        <v>81753.173721494197</v>
      </c>
      <c r="K236" s="73"/>
      <c r="M236" s="72"/>
      <c r="N236" s="54">
        <v>227</v>
      </c>
      <c r="O236" s="70">
        <v>49183.71249999998</v>
      </c>
      <c r="P236" s="75">
        <v>13115</v>
      </c>
      <c r="Q236" s="75">
        <v>80901</v>
      </c>
      <c r="R236" s="194">
        <v>327449.41249999998</v>
      </c>
      <c r="S236" s="194">
        <v>6045.05</v>
      </c>
      <c r="T236" s="70">
        <v>1606.5875000000008</v>
      </c>
      <c r="U236" s="80">
        <v>81753.173721494197</v>
      </c>
      <c r="V236" s="73"/>
      <c r="X236" s="30"/>
      <c r="Y236" s="54">
        <v>227</v>
      </c>
      <c r="Z236" s="70">
        <v>59095.449999999975</v>
      </c>
      <c r="AA236" s="75">
        <v>13809</v>
      </c>
      <c r="AB236" s="75">
        <v>4214.75</v>
      </c>
      <c r="AC236" s="75">
        <v>80080.25</v>
      </c>
      <c r="AD236" s="194">
        <v>338530.85</v>
      </c>
      <c r="AE236" s="194">
        <v>7214.75</v>
      </c>
      <c r="AF236" s="76">
        <v>0.05</v>
      </c>
      <c r="AG236" s="70">
        <v>4833.1500000000015</v>
      </c>
      <c r="AH236" s="31"/>
    </row>
    <row r="237" spans="3:34" x14ac:dyDescent="0.25">
      <c r="C237" s="72"/>
      <c r="D237" s="54">
        <v>228</v>
      </c>
      <c r="E237" s="70">
        <v>44493.59</v>
      </c>
      <c r="F237" s="75">
        <v>5706</v>
      </c>
      <c r="G237" s="75">
        <v>88310</v>
      </c>
      <c r="H237" s="194">
        <v>329056</v>
      </c>
      <c r="I237" s="194">
        <v>12341.76</v>
      </c>
      <c r="J237" s="75">
        <v>81753.173721494197</v>
      </c>
      <c r="K237" s="73"/>
      <c r="M237" s="72"/>
      <c r="N237" s="54">
        <v>228</v>
      </c>
      <c r="O237" s="70">
        <v>49189.439999999966</v>
      </c>
      <c r="P237" s="75">
        <v>13036</v>
      </c>
      <c r="Q237" s="75">
        <v>80980</v>
      </c>
      <c r="R237" s="194">
        <v>327459.08999999997</v>
      </c>
      <c r="S237" s="194">
        <v>6049</v>
      </c>
      <c r="T237" s="70">
        <v>1596.9100000000008</v>
      </c>
      <c r="U237" s="80">
        <v>81753.173721494197</v>
      </c>
      <c r="V237" s="73"/>
      <c r="X237" s="30"/>
      <c r="Y237" s="54">
        <v>228</v>
      </c>
      <c r="Z237" s="70">
        <v>32341.150000000023</v>
      </c>
      <c r="AA237" s="75">
        <v>8966</v>
      </c>
      <c r="AB237" s="75">
        <v>4857.72</v>
      </c>
      <c r="AC237" s="75">
        <v>76104.28</v>
      </c>
      <c r="AD237" s="194">
        <v>311609.90000000002</v>
      </c>
      <c r="AE237" s="194">
        <v>7048.1</v>
      </c>
      <c r="AF237" s="76">
        <v>0.06</v>
      </c>
      <c r="AG237" s="70">
        <v>3138.1000000000008</v>
      </c>
      <c r="AH237" s="31"/>
    </row>
    <row r="238" spans="3:34" x14ac:dyDescent="0.25">
      <c r="C238" s="72"/>
      <c r="D238" s="54">
        <v>229</v>
      </c>
      <c r="E238" s="70">
        <v>44493.59</v>
      </c>
      <c r="F238" s="75">
        <v>6608</v>
      </c>
      <c r="G238" s="75">
        <v>87408</v>
      </c>
      <c r="H238" s="194">
        <v>329056</v>
      </c>
      <c r="I238" s="194">
        <v>12341.76</v>
      </c>
      <c r="J238" s="75">
        <v>81753.173721494197</v>
      </c>
      <c r="K238" s="73"/>
      <c r="M238" s="72"/>
      <c r="N238" s="54">
        <v>229</v>
      </c>
      <c r="O238" s="70">
        <v>49185.960000000021</v>
      </c>
      <c r="P238" s="75">
        <v>13084</v>
      </c>
      <c r="Q238" s="75">
        <v>80932</v>
      </c>
      <c r="R238" s="194">
        <v>327453.21000000002</v>
      </c>
      <c r="S238" s="194">
        <v>6046.6</v>
      </c>
      <c r="T238" s="70">
        <v>1602.7900000000006</v>
      </c>
      <c r="U238" s="80">
        <v>81753.173721494197</v>
      </c>
      <c r="V238" s="73"/>
      <c r="X238" s="30"/>
      <c r="Y238" s="54">
        <v>229</v>
      </c>
      <c r="Z238" s="70">
        <v>88237.299999999988</v>
      </c>
      <c r="AA238" s="75">
        <v>10682</v>
      </c>
      <c r="AB238" s="75">
        <v>7647.76</v>
      </c>
      <c r="AC238" s="75">
        <v>87949.24</v>
      </c>
      <c r="AD238" s="194">
        <v>368237.8</v>
      </c>
      <c r="AE238" s="194">
        <v>7779.85</v>
      </c>
      <c r="AF238" s="76">
        <v>0.08</v>
      </c>
      <c r="AG238" s="70">
        <v>3738.7000000000007</v>
      </c>
      <c r="AH238" s="31"/>
    </row>
    <row r="239" spans="3:34" x14ac:dyDescent="0.25">
      <c r="C239" s="72"/>
      <c r="D239" s="54">
        <v>230</v>
      </c>
      <c r="E239" s="70">
        <v>30635.27</v>
      </c>
      <c r="F239" s="75">
        <v>5430</v>
      </c>
      <c r="G239" s="75">
        <v>84498</v>
      </c>
      <c r="H239" s="194">
        <v>314748</v>
      </c>
      <c r="I239" s="194">
        <v>11892.08</v>
      </c>
      <c r="J239" s="75">
        <v>81753.173721494197</v>
      </c>
      <c r="K239" s="73"/>
      <c r="M239" s="72"/>
      <c r="N239" s="54">
        <v>230</v>
      </c>
      <c r="O239" s="70">
        <v>63532.652500000011</v>
      </c>
      <c r="P239" s="75">
        <v>9731</v>
      </c>
      <c r="Q239" s="75">
        <v>88373</v>
      </c>
      <c r="R239" s="194">
        <v>342171.95250000001</v>
      </c>
      <c r="S239" s="194">
        <v>6418.6500000000005</v>
      </c>
      <c r="T239" s="70">
        <v>1192.0475000000006</v>
      </c>
      <c r="U239" s="80">
        <v>81753.173721494197</v>
      </c>
      <c r="V239" s="73"/>
      <c r="X239" s="30"/>
      <c r="Y239" s="54">
        <v>230</v>
      </c>
      <c r="Z239" s="70">
        <v>60290.949999999975</v>
      </c>
      <c r="AA239" s="75">
        <v>9824</v>
      </c>
      <c r="AB239" s="75">
        <v>6179.6</v>
      </c>
      <c r="AC239" s="75">
        <v>82100.399999999994</v>
      </c>
      <c r="AD239" s="194">
        <v>339925.6</v>
      </c>
      <c r="AE239" s="194">
        <v>7414</v>
      </c>
      <c r="AF239" s="76">
        <v>7.0000000000000007E-2</v>
      </c>
      <c r="AG239" s="70">
        <v>3438.400000000001</v>
      </c>
      <c r="AH239" s="31"/>
    </row>
    <row r="240" spans="3:34" x14ac:dyDescent="0.25">
      <c r="C240" s="72"/>
      <c r="D240" s="54">
        <v>231</v>
      </c>
      <c r="E240" s="70">
        <v>58351.91</v>
      </c>
      <c r="F240" s="75">
        <v>6850</v>
      </c>
      <c r="G240" s="75">
        <v>91254</v>
      </c>
      <c r="H240" s="194">
        <v>343364</v>
      </c>
      <c r="I240" s="194">
        <v>12791.44</v>
      </c>
      <c r="J240" s="75">
        <v>81753.173721494197</v>
      </c>
      <c r="K240" s="73"/>
      <c r="M240" s="72"/>
      <c r="N240" s="54">
        <v>231</v>
      </c>
      <c r="O240" s="70">
        <v>35252.880000000019</v>
      </c>
      <c r="P240" s="75">
        <v>10732</v>
      </c>
      <c r="Q240" s="75">
        <v>79196</v>
      </c>
      <c r="R240" s="194">
        <v>313433.33</v>
      </c>
      <c r="S240" s="194">
        <v>5959.8</v>
      </c>
      <c r="T240" s="70">
        <v>1314.6700000000005</v>
      </c>
      <c r="U240" s="80">
        <v>81753.173721494197</v>
      </c>
      <c r="V240" s="73"/>
      <c r="X240" s="30"/>
      <c r="Y240" s="54">
        <v>231</v>
      </c>
      <c r="Z240" s="70">
        <v>58794.549999999988</v>
      </c>
      <c r="AA240" s="75">
        <v>14812</v>
      </c>
      <c r="AB240" s="75">
        <v>7496.28</v>
      </c>
      <c r="AC240" s="75">
        <v>75795.72</v>
      </c>
      <c r="AD240" s="194">
        <v>338179.8</v>
      </c>
      <c r="AE240" s="194">
        <v>7164.6</v>
      </c>
      <c r="AF240" s="76">
        <v>0.09</v>
      </c>
      <c r="AG240" s="70">
        <v>5184.2000000000016</v>
      </c>
      <c r="AH240" s="31"/>
    </row>
    <row r="241" spans="3:34" x14ac:dyDescent="0.25">
      <c r="C241" s="72"/>
      <c r="D241" s="54">
        <v>232</v>
      </c>
      <c r="E241" s="70">
        <v>58351.91</v>
      </c>
      <c r="F241" s="75">
        <v>7899</v>
      </c>
      <c r="G241" s="75">
        <v>90205</v>
      </c>
      <c r="H241" s="194">
        <v>343364</v>
      </c>
      <c r="I241" s="194">
        <v>12791.44</v>
      </c>
      <c r="J241" s="75">
        <v>81753.173721494197</v>
      </c>
      <c r="K241" s="73"/>
      <c r="M241" s="72"/>
      <c r="N241" s="54">
        <v>232</v>
      </c>
      <c r="O241" s="70">
        <v>35178.059999999976</v>
      </c>
      <c r="P241" s="75">
        <v>11764</v>
      </c>
      <c r="Q241" s="75">
        <v>78164</v>
      </c>
      <c r="R241" s="194">
        <v>313306.90999999997</v>
      </c>
      <c r="S241" s="194">
        <v>5908.2000000000007</v>
      </c>
      <c r="T241" s="70">
        <v>1441.0900000000006</v>
      </c>
      <c r="U241" s="80">
        <v>81753.173721494197</v>
      </c>
      <c r="V241" s="73"/>
      <c r="X241" s="30"/>
      <c r="Y241" s="54">
        <v>232</v>
      </c>
      <c r="Z241" s="70">
        <v>45718.150000000009</v>
      </c>
      <c r="AA241" s="75">
        <v>11388</v>
      </c>
      <c r="AB241" s="75">
        <v>4957.6799999999994</v>
      </c>
      <c r="AC241" s="75">
        <v>77670.320000000007</v>
      </c>
      <c r="AD241" s="194">
        <v>325070.2</v>
      </c>
      <c r="AE241" s="194">
        <v>7131.4000000000005</v>
      </c>
      <c r="AF241" s="76">
        <v>0.06</v>
      </c>
      <c r="AG241" s="70">
        <v>3985.8000000000011</v>
      </c>
      <c r="AH241" s="31"/>
    </row>
    <row r="242" spans="3:34" x14ac:dyDescent="0.25">
      <c r="C242" s="72"/>
      <c r="D242" s="54">
        <v>233</v>
      </c>
      <c r="E242" s="70">
        <v>86065.16</v>
      </c>
      <c r="F242" s="75">
        <v>5324</v>
      </c>
      <c r="G242" s="75">
        <v>100955</v>
      </c>
      <c r="H242" s="194">
        <v>371976.5</v>
      </c>
      <c r="I242" s="194">
        <v>13690.69</v>
      </c>
      <c r="J242" s="75">
        <v>81753.173721494197</v>
      </c>
      <c r="K242" s="73"/>
      <c r="M242" s="72"/>
      <c r="N242" s="54">
        <v>233</v>
      </c>
      <c r="O242" s="70">
        <v>35173.347500000011</v>
      </c>
      <c r="P242" s="75">
        <v>11829</v>
      </c>
      <c r="Q242" s="75">
        <v>78099</v>
      </c>
      <c r="R242" s="194">
        <v>313298.94750000001</v>
      </c>
      <c r="S242" s="194">
        <v>5904.9500000000007</v>
      </c>
      <c r="T242" s="70">
        <v>1449.0525000000007</v>
      </c>
      <c r="U242" s="80">
        <v>81753.173721494197</v>
      </c>
      <c r="V242" s="73"/>
      <c r="X242" s="30"/>
      <c r="Y242" s="54">
        <v>233</v>
      </c>
      <c r="Z242" s="70">
        <v>31011.249999999978</v>
      </c>
      <c r="AA242" s="75">
        <v>13399</v>
      </c>
      <c r="AB242" s="75">
        <v>3826.4500000000003</v>
      </c>
      <c r="AC242" s="75">
        <v>72702.55</v>
      </c>
      <c r="AD242" s="194">
        <v>310058.34999999998</v>
      </c>
      <c r="AE242" s="194">
        <v>6826.4500000000007</v>
      </c>
      <c r="AF242" s="76">
        <v>0.05</v>
      </c>
      <c r="AG242" s="70">
        <v>4689.6500000000015</v>
      </c>
      <c r="AH242" s="31"/>
    </row>
    <row r="243" spans="3:34" x14ac:dyDescent="0.25">
      <c r="C243" s="72"/>
      <c r="D243" s="54">
        <v>234</v>
      </c>
      <c r="E243" s="70">
        <v>44493.59</v>
      </c>
      <c r="F243" s="75">
        <v>5755</v>
      </c>
      <c r="G243" s="75">
        <v>88261</v>
      </c>
      <c r="H243" s="194">
        <v>329056</v>
      </c>
      <c r="I243" s="194">
        <v>12341.76</v>
      </c>
      <c r="J243" s="75">
        <v>81753.173721494197</v>
      </c>
      <c r="K243" s="73"/>
      <c r="M243" s="72"/>
      <c r="N243" s="54">
        <v>234</v>
      </c>
      <c r="O243" s="70">
        <v>35126.947499999987</v>
      </c>
      <c r="P243" s="75">
        <v>12469</v>
      </c>
      <c r="Q243" s="75">
        <v>77459</v>
      </c>
      <c r="R243" s="194">
        <v>313220.54749999999</v>
      </c>
      <c r="S243" s="194">
        <v>5872.9500000000007</v>
      </c>
      <c r="T243" s="70">
        <v>1527.4525000000006</v>
      </c>
      <c r="U243" s="80">
        <v>81753.173721494197</v>
      </c>
      <c r="V243" s="73"/>
      <c r="X243" s="30"/>
      <c r="Y243" s="54">
        <v>234</v>
      </c>
      <c r="Z243" s="70">
        <v>45203.650000000009</v>
      </c>
      <c r="AA243" s="75">
        <v>13103</v>
      </c>
      <c r="AB243" s="75">
        <v>7282.17</v>
      </c>
      <c r="AC243" s="75">
        <v>73630.83</v>
      </c>
      <c r="AD243" s="194">
        <v>324469.95</v>
      </c>
      <c r="AE243" s="194">
        <v>7045.65</v>
      </c>
      <c r="AF243" s="76">
        <v>0.09</v>
      </c>
      <c r="AG243" s="70">
        <v>4586.0500000000011</v>
      </c>
      <c r="AH243" s="31"/>
    </row>
    <row r="244" spans="3:34" x14ac:dyDescent="0.25">
      <c r="C244" s="72"/>
      <c r="D244" s="54">
        <v>235</v>
      </c>
      <c r="E244" s="70">
        <v>58351.91</v>
      </c>
      <c r="F244" s="75">
        <v>4894</v>
      </c>
      <c r="G244" s="75">
        <v>93210</v>
      </c>
      <c r="H244" s="194">
        <v>343364</v>
      </c>
      <c r="I244" s="194">
        <v>12791.44</v>
      </c>
      <c r="J244" s="75">
        <v>81753.173721494197</v>
      </c>
      <c r="K244" s="73"/>
      <c r="M244" s="72"/>
      <c r="N244" s="54">
        <v>235</v>
      </c>
      <c r="O244" s="70">
        <v>49316.314999999966</v>
      </c>
      <c r="P244" s="75">
        <v>11286</v>
      </c>
      <c r="Q244" s="75">
        <v>82730</v>
      </c>
      <c r="R244" s="194">
        <v>327673.46499999997</v>
      </c>
      <c r="S244" s="194">
        <v>6136.5</v>
      </c>
      <c r="T244" s="70">
        <v>1382.5350000000005</v>
      </c>
      <c r="U244" s="80">
        <v>81753.173721494197</v>
      </c>
      <c r="V244" s="73"/>
      <c r="X244" s="30"/>
      <c r="Y244" s="54">
        <v>235</v>
      </c>
      <c r="Z244" s="70">
        <v>31253.95</v>
      </c>
      <c r="AA244" s="75">
        <v>12590</v>
      </c>
      <c r="AB244" s="75">
        <v>5413.6600000000008</v>
      </c>
      <c r="AC244" s="75">
        <v>71924.34</v>
      </c>
      <c r="AD244" s="194">
        <v>310341.5</v>
      </c>
      <c r="AE244" s="194">
        <v>6866.9</v>
      </c>
      <c r="AF244" s="76">
        <v>7.0000000000000007E-2</v>
      </c>
      <c r="AG244" s="70">
        <v>4406.5000000000009</v>
      </c>
      <c r="AH244" s="31"/>
    </row>
    <row r="245" spans="3:34" x14ac:dyDescent="0.25">
      <c r="C245" s="72"/>
      <c r="D245" s="54">
        <v>236</v>
      </c>
      <c r="E245" s="70">
        <v>44493.59</v>
      </c>
      <c r="F245" s="75">
        <v>4669</v>
      </c>
      <c r="G245" s="75">
        <v>89347</v>
      </c>
      <c r="H245" s="194">
        <v>329056</v>
      </c>
      <c r="I245" s="194">
        <v>12341.76</v>
      </c>
      <c r="J245" s="75">
        <v>81753.173721494197</v>
      </c>
      <c r="K245" s="73"/>
      <c r="M245" s="72"/>
      <c r="N245" s="54">
        <v>236</v>
      </c>
      <c r="O245" s="70">
        <v>35246.282499999994</v>
      </c>
      <c r="P245" s="75">
        <v>10823</v>
      </c>
      <c r="Q245" s="75">
        <v>79105</v>
      </c>
      <c r="R245" s="194">
        <v>313422.1825</v>
      </c>
      <c r="S245" s="194">
        <v>5955.25</v>
      </c>
      <c r="T245" s="70">
        <v>1325.8175000000006</v>
      </c>
      <c r="U245" s="80">
        <v>81753.173721494197</v>
      </c>
      <c r="V245" s="73"/>
      <c r="X245" s="30"/>
      <c r="Y245" s="54">
        <v>236</v>
      </c>
      <c r="Z245" s="70">
        <v>60003.85000000002</v>
      </c>
      <c r="AA245" s="75">
        <v>10781</v>
      </c>
      <c r="AB245" s="75">
        <v>8732.3000000000011</v>
      </c>
      <c r="AC245" s="75">
        <v>78590.7</v>
      </c>
      <c r="AD245" s="194">
        <v>339590.65</v>
      </c>
      <c r="AE245" s="194">
        <v>7366.1500000000005</v>
      </c>
      <c r="AF245" s="76">
        <v>0.1</v>
      </c>
      <c r="AG245" s="70">
        <v>3773.3500000000008</v>
      </c>
      <c r="AH245" s="31"/>
    </row>
    <row r="246" spans="3:34" x14ac:dyDescent="0.25">
      <c r="C246" s="72"/>
      <c r="D246" s="54">
        <v>237</v>
      </c>
      <c r="E246" s="70">
        <v>30635.27</v>
      </c>
      <c r="F246" s="75">
        <v>8980</v>
      </c>
      <c r="G246" s="75">
        <v>80948</v>
      </c>
      <c r="H246" s="194">
        <v>314748</v>
      </c>
      <c r="I246" s="194">
        <v>11892.08</v>
      </c>
      <c r="J246" s="75">
        <v>81753.173721494197</v>
      </c>
      <c r="K246" s="73"/>
      <c r="M246" s="72"/>
      <c r="N246" s="54">
        <v>237</v>
      </c>
      <c r="O246" s="70">
        <v>63311.382500000022</v>
      </c>
      <c r="P246" s="75">
        <v>12783</v>
      </c>
      <c r="Q246" s="75">
        <v>85321</v>
      </c>
      <c r="R246" s="194">
        <v>341798.08250000002</v>
      </c>
      <c r="S246" s="194">
        <v>6266.05</v>
      </c>
      <c r="T246" s="70">
        <v>1565.9175000000007</v>
      </c>
      <c r="U246" s="80">
        <v>81753.173721494197</v>
      </c>
      <c r="V246" s="73"/>
      <c r="X246" s="30"/>
      <c r="Y246" s="54">
        <v>237</v>
      </c>
      <c r="Z246" s="70">
        <v>88231.299999999988</v>
      </c>
      <c r="AA246" s="75">
        <v>10702</v>
      </c>
      <c r="AB246" s="75">
        <v>4778.8500000000004</v>
      </c>
      <c r="AC246" s="75">
        <v>90798.15</v>
      </c>
      <c r="AD246" s="194">
        <v>368230.8</v>
      </c>
      <c r="AE246" s="194">
        <v>7778.85</v>
      </c>
      <c r="AF246" s="76">
        <v>0.05</v>
      </c>
      <c r="AG246" s="70">
        <v>3745.7000000000007</v>
      </c>
      <c r="AH246" s="31"/>
    </row>
    <row r="247" spans="3:34" x14ac:dyDescent="0.25">
      <c r="C247" s="72"/>
      <c r="D247" s="54">
        <v>238</v>
      </c>
      <c r="E247" s="70">
        <v>58351.91</v>
      </c>
      <c r="F247" s="75">
        <v>8858</v>
      </c>
      <c r="G247" s="75">
        <v>89246</v>
      </c>
      <c r="H247" s="194">
        <v>343364</v>
      </c>
      <c r="I247" s="194">
        <v>12791.44</v>
      </c>
      <c r="J247" s="75">
        <v>81753.173721494197</v>
      </c>
      <c r="K247" s="73"/>
      <c r="M247" s="72"/>
      <c r="N247" s="54">
        <v>238</v>
      </c>
      <c r="O247" s="70">
        <v>35331.324999999997</v>
      </c>
      <c r="P247" s="75">
        <v>9650</v>
      </c>
      <c r="Q247" s="75">
        <v>80278</v>
      </c>
      <c r="R247" s="194">
        <v>313565.875</v>
      </c>
      <c r="S247" s="194">
        <v>6013.9</v>
      </c>
      <c r="T247" s="70">
        <v>1182.1250000000005</v>
      </c>
      <c r="U247" s="80">
        <v>81753.173721494197</v>
      </c>
      <c r="V247" s="73"/>
      <c r="X247" s="30"/>
      <c r="Y247" s="54">
        <v>238</v>
      </c>
      <c r="Z247" s="70">
        <v>45473.94999999999</v>
      </c>
      <c r="AA247" s="75">
        <v>12202</v>
      </c>
      <c r="AB247" s="75">
        <v>4090.7000000000003</v>
      </c>
      <c r="AC247" s="75">
        <v>77723.3</v>
      </c>
      <c r="AD247" s="194">
        <v>324785.3</v>
      </c>
      <c r="AE247" s="194">
        <v>7090.7000000000007</v>
      </c>
      <c r="AF247" s="76">
        <v>0.05</v>
      </c>
      <c r="AG247" s="70">
        <v>4270.7000000000007</v>
      </c>
      <c r="AH247" s="31"/>
    </row>
    <row r="248" spans="3:34" x14ac:dyDescent="0.25">
      <c r="C248" s="72"/>
      <c r="D248" s="54">
        <v>239</v>
      </c>
      <c r="E248" s="70">
        <v>44493.59</v>
      </c>
      <c r="F248" s="75">
        <v>8536</v>
      </c>
      <c r="G248" s="75">
        <v>85480</v>
      </c>
      <c r="H248" s="194">
        <v>329056</v>
      </c>
      <c r="I248" s="194">
        <v>12341.76</v>
      </c>
      <c r="J248" s="75">
        <v>81753.173721494197</v>
      </c>
      <c r="K248" s="73"/>
      <c r="M248" s="72"/>
      <c r="N248" s="54">
        <v>239</v>
      </c>
      <c r="O248" s="70">
        <v>91291.107499999998</v>
      </c>
      <c r="P248" s="75">
        <v>15873</v>
      </c>
      <c r="Q248" s="75">
        <v>90406</v>
      </c>
      <c r="R248" s="194">
        <v>370032.0575</v>
      </c>
      <c r="S248" s="194">
        <v>6520.3</v>
      </c>
      <c r="T248" s="70">
        <v>1944.4425000000008</v>
      </c>
      <c r="U248" s="80">
        <v>81753.173721494197</v>
      </c>
      <c r="V248" s="73"/>
      <c r="X248" s="30"/>
      <c r="Y248" s="54">
        <v>239</v>
      </c>
      <c r="Z248" s="70">
        <v>59429.65</v>
      </c>
      <c r="AA248" s="75">
        <v>12695</v>
      </c>
      <c r="AB248" s="75">
        <v>4270.45</v>
      </c>
      <c r="AC248" s="75">
        <v>81138.55</v>
      </c>
      <c r="AD248" s="194">
        <v>338920.75</v>
      </c>
      <c r="AE248" s="194">
        <v>7270.45</v>
      </c>
      <c r="AF248" s="76">
        <v>0.05</v>
      </c>
      <c r="AG248" s="70">
        <v>4443.2500000000009</v>
      </c>
      <c r="AH248" s="31"/>
    </row>
    <row r="249" spans="3:34" x14ac:dyDescent="0.25">
      <c r="C249" s="72"/>
      <c r="D249" s="54">
        <v>240</v>
      </c>
      <c r="E249" s="70">
        <v>44493.59</v>
      </c>
      <c r="F249" s="75">
        <v>9428</v>
      </c>
      <c r="G249" s="75">
        <v>84588</v>
      </c>
      <c r="H249" s="194">
        <v>329056</v>
      </c>
      <c r="I249" s="194">
        <v>12341.76</v>
      </c>
      <c r="J249" s="75">
        <v>81753.173721494197</v>
      </c>
      <c r="K249" s="73"/>
      <c r="M249" s="72"/>
      <c r="N249" s="54">
        <v>240</v>
      </c>
      <c r="O249" s="70">
        <v>35183.569999999971</v>
      </c>
      <c r="P249" s="75">
        <v>11688</v>
      </c>
      <c r="Q249" s="75">
        <v>78240</v>
      </c>
      <c r="R249" s="194">
        <v>313316.21999999997</v>
      </c>
      <c r="S249" s="194">
        <v>5912</v>
      </c>
      <c r="T249" s="70">
        <v>1431.7800000000007</v>
      </c>
      <c r="U249" s="80">
        <v>81753.173721494197</v>
      </c>
      <c r="V249" s="73"/>
      <c r="X249" s="30"/>
      <c r="Y249" s="54">
        <v>240</v>
      </c>
      <c r="Z249" s="70">
        <v>30946.749999999978</v>
      </c>
      <c r="AA249" s="75">
        <v>13614</v>
      </c>
      <c r="AB249" s="75">
        <v>6105.12</v>
      </c>
      <c r="AC249" s="75">
        <v>70208.88</v>
      </c>
      <c r="AD249" s="194">
        <v>309983.09999999998</v>
      </c>
      <c r="AE249" s="194">
        <v>6815.7000000000007</v>
      </c>
      <c r="AF249" s="76">
        <v>0.08</v>
      </c>
      <c r="AG249" s="70">
        <v>4764.9000000000015</v>
      </c>
      <c r="AH249" s="31"/>
    </row>
    <row r="250" spans="3:34" x14ac:dyDescent="0.25">
      <c r="C250" s="72"/>
      <c r="D250" s="54">
        <v>241</v>
      </c>
      <c r="E250" s="70">
        <v>58351.91</v>
      </c>
      <c r="F250" s="75">
        <v>7002</v>
      </c>
      <c r="G250" s="75">
        <v>91102</v>
      </c>
      <c r="H250" s="194">
        <v>343364</v>
      </c>
      <c r="I250" s="194">
        <v>12791.44</v>
      </c>
      <c r="J250" s="75">
        <v>81753.173721494197</v>
      </c>
      <c r="K250" s="73"/>
      <c r="M250" s="72"/>
      <c r="N250" s="54">
        <v>241</v>
      </c>
      <c r="O250" s="70">
        <v>49173.490000000013</v>
      </c>
      <c r="P250" s="75">
        <v>13256</v>
      </c>
      <c r="Q250" s="75">
        <v>80760</v>
      </c>
      <c r="R250" s="194">
        <v>327432.14</v>
      </c>
      <c r="S250" s="194">
        <v>6038</v>
      </c>
      <c r="T250" s="70">
        <v>1623.8600000000008</v>
      </c>
      <c r="U250" s="80">
        <v>81753.173721494197</v>
      </c>
      <c r="V250" s="73"/>
      <c r="X250" s="30"/>
      <c r="Y250" s="54">
        <v>241</v>
      </c>
      <c r="Z250" s="70">
        <v>87892.9</v>
      </c>
      <c r="AA250" s="75">
        <v>11830</v>
      </c>
      <c r="AB250" s="75">
        <v>6611.43</v>
      </c>
      <c r="AC250" s="75">
        <v>87837.57</v>
      </c>
      <c r="AD250" s="194">
        <v>367836</v>
      </c>
      <c r="AE250" s="194">
        <v>7722.45</v>
      </c>
      <c r="AF250" s="76">
        <v>7.0000000000000007E-2</v>
      </c>
      <c r="AG250" s="70">
        <v>4140.5000000000009</v>
      </c>
      <c r="AH250" s="31"/>
    </row>
    <row r="251" spans="3:34" x14ac:dyDescent="0.25">
      <c r="C251" s="72"/>
      <c r="D251" s="54">
        <v>242</v>
      </c>
      <c r="E251" s="70">
        <v>44493.59</v>
      </c>
      <c r="F251" s="75">
        <v>8551</v>
      </c>
      <c r="G251" s="75">
        <v>85465</v>
      </c>
      <c r="H251" s="194">
        <v>329056</v>
      </c>
      <c r="I251" s="194">
        <v>12341.76</v>
      </c>
      <c r="J251" s="75">
        <v>81753.173721494197</v>
      </c>
      <c r="K251" s="73"/>
      <c r="M251" s="72"/>
      <c r="N251" s="54">
        <v>242</v>
      </c>
      <c r="O251" s="70">
        <v>63168.55750000001</v>
      </c>
      <c r="P251" s="75">
        <v>14753</v>
      </c>
      <c r="Q251" s="75">
        <v>83351</v>
      </c>
      <c r="R251" s="194">
        <v>341556.75750000001</v>
      </c>
      <c r="S251" s="194">
        <v>6167.55</v>
      </c>
      <c r="T251" s="70">
        <v>1807.2425000000007</v>
      </c>
      <c r="U251" s="80">
        <v>81753.173721494197</v>
      </c>
      <c r="V251" s="73"/>
      <c r="X251" s="30"/>
      <c r="Y251" s="54">
        <v>242</v>
      </c>
      <c r="Z251" s="70">
        <v>59105.049999999988</v>
      </c>
      <c r="AA251" s="75">
        <v>13777</v>
      </c>
      <c r="AB251" s="75">
        <v>5902.89</v>
      </c>
      <c r="AC251" s="75">
        <v>78424.11</v>
      </c>
      <c r="AD251" s="194">
        <v>338542.05</v>
      </c>
      <c r="AE251" s="194">
        <v>7216.35</v>
      </c>
      <c r="AF251" s="76">
        <v>7.0000000000000007E-2</v>
      </c>
      <c r="AG251" s="70">
        <v>4821.9500000000016</v>
      </c>
      <c r="AH251" s="31"/>
    </row>
    <row r="252" spans="3:34" x14ac:dyDescent="0.25">
      <c r="C252" s="72"/>
      <c r="D252" s="54">
        <v>243</v>
      </c>
      <c r="E252" s="70">
        <v>44493.59</v>
      </c>
      <c r="F252" s="75">
        <v>6605</v>
      </c>
      <c r="G252" s="75">
        <v>87411</v>
      </c>
      <c r="H252" s="194">
        <v>329056</v>
      </c>
      <c r="I252" s="194">
        <v>12341.76</v>
      </c>
      <c r="J252" s="75">
        <v>81753.173721494197</v>
      </c>
      <c r="K252" s="73"/>
      <c r="M252" s="72"/>
      <c r="N252" s="54">
        <v>243</v>
      </c>
      <c r="O252" s="70">
        <v>91379.122500000027</v>
      </c>
      <c r="P252" s="75">
        <v>14659</v>
      </c>
      <c r="Q252" s="75">
        <v>91620</v>
      </c>
      <c r="R252" s="194">
        <v>370180.77250000002</v>
      </c>
      <c r="S252" s="194">
        <v>6581</v>
      </c>
      <c r="T252" s="70">
        <v>1795.7275000000009</v>
      </c>
      <c r="U252" s="80">
        <v>81753.173721494197</v>
      </c>
      <c r="V252" s="73"/>
      <c r="X252" s="30"/>
      <c r="Y252" s="54">
        <v>243</v>
      </c>
      <c r="Z252" s="70">
        <v>44913.250000000022</v>
      </c>
      <c r="AA252" s="75">
        <v>14071</v>
      </c>
      <c r="AB252" s="75">
        <v>5596.1500000000005</v>
      </c>
      <c r="AC252" s="75">
        <v>74348.850000000006</v>
      </c>
      <c r="AD252" s="194">
        <v>324131.15000000002</v>
      </c>
      <c r="AE252" s="194">
        <v>6997.25</v>
      </c>
      <c r="AF252" s="76">
        <v>7.0000000000000007E-2</v>
      </c>
      <c r="AG252" s="70">
        <v>4924.8500000000013</v>
      </c>
      <c r="AH252" s="31"/>
    </row>
    <row r="253" spans="3:34" x14ac:dyDescent="0.25">
      <c r="C253" s="72"/>
      <c r="D253" s="54">
        <v>244</v>
      </c>
      <c r="E253" s="70">
        <v>44493.59</v>
      </c>
      <c r="F253" s="75">
        <v>5552</v>
      </c>
      <c r="G253" s="75">
        <v>88464</v>
      </c>
      <c r="H253" s="194">
        <v>329056</v>
      </c>
      <c r="I253" s="194">
        <v>12341.76</v>
      </c>
      <c r="J253" s="75">
        <v>81753.173721494197</v>
      </c>
      <c r="K253" s="73"/>
      <c r="M253" s="72"/>
      <c r="N253" s="54">
        <v>244</v>
      </c>
      <c r="O253" s="70">
        <v>49317.474999999991</v>
      </c>
      <c r="P253" s="75">
        <v>11270</v>
      </c>
      <c r="Q253" s="75">
        <v>82746</v>
      </c>
      <c r="R253" s="194">
        <v>327675.42499999999</v>
      </c>
      <c r="S253" s="194">
        <v>6137.3</v>
      </c>
      <c r="T253" s="70">
        <v>1380.5750000000005</v>
      </c>
      <c r="U253" s="80">
        <v>81753.173721494197</v>
      </c>
      <c r="V253" s="73"/>
      <c r="X253" s="30"/>
      <c r="Y253" s="54">
        <v>244</v>
      </c>
      <c r="Z253" s="70">
        <v>86637.10000000002</v>
      </c>
      <c r="AA253" s="75">
        <v>16016</v>
      </c>
      <c r="AB253" s="75">
        <v>4513.1500000000005</v>
      </c>
      <c r="AC253" s="75">
        <v>85749.85</v>
      </c>
      <c r="AD253" s="194">
        <v>366370.9</v>
      </c>
      <c r="AE253" s="194">
        <v>7513.1500000000005</v>
      </c>
      <c r="AF253" s="76">
        <v>0.05</v>
      </c>
      <c r="AG253" s="70">
        <v>5605.6000000000013</v>
      </c>
      <c r="AH253" s="31"/>
    </row>
    <row r="254" spans="3:34" x14ac:dyDescent="0.25">
      <c r="C254" s="72"/>
      <c r="D254" s="54">
        <v>245</v>
      </c>
      <c r="E254" s="70">
        <v>58351.91</v>
      </c>
      <c r="F254" s="75">
        <v>4888</v>
      </c>
      <c r="G254" s="75">
        <v>93216</v>
      </c>
      <c r="H254" s="194">
        <v>343364</v>
      </c>
      <c r="I254" s="194">
        <v>12791.44</v>
      </c>
      <c r="J254" s="75">
        <v>81753.173721494197</v>
      </c>
      <c r="K254" s="73"/>
      <c r="M254" s="72"/>
      <c r="N254" s="54">
        <v>245</v>
      </c>
      <c r="O254" s="70">
        <v>91585.38499999998</v>
      </c>
      <c r="P254" s="75">
        <v>11814</v>
      </c>
      <c r="Q254" s="75">
        <v>94465</v>
      </c>
      <c r="R254" s="194">
        <v>370529.28499999997</v>
      </c>
      <c r="S254" s="194">
        <v>6723.25</v>
      </c>
      <c r="T254" s="70">
        <v>1447.2150000000006</v>
      </c>
      <c r="U254" s="80">
        <v>81753.173721494197</v>
      </c>
      <c r="V254" s="73"/>
      <c r="X254" s="30"/>
      <c r="Y254" s="54">
        <v>245</v>
      </c>
      <c r="Z254" s="70">
        <v>32328.55000000001</v>
      </c>
      <c r="AA254" s="75">
        <v>9008</v>
      </c>
      <c r="AB254" s="75">
        <v>5664.4000000000005</v>
      </c>
      <c r="AC254" s="75">
        <v>75255.600000000006</v>
      </c>
      <c r="AD254" s="194">
        <v>311595.2</v>
      </c>
      <c r="AE254" s="194">
        <v>7046</v>
      </c>
      <c r="AF254" s="76">
        <v>7.0000000000000007E-2</v>
      </c>
      <c r="AG254" s="70">
        <v>3152.8000000000006</v>
      </c>
      <c r="AH254" s="31"/>
    </row>
    <row r="255" spans="3:34" x14ac:dyDescent="0.25">
      <c r="C255" s="72"/>
      <c r="D255" s="54">
        <v>246</v>
      </c>
      <c r="E255" s="70">
        <v>30635.27</v>
      </c>
      <c r="F255" s="75">
        <v>8096</v>
      </c>
      <c r="G255" s="75">
        <v>81832</v>
      </c>
      <c r="H255" s="194">
        <v>314748</v>
      </c>
      <c r="I255" s="194">
        <v>11892.08</v>
      </c>
      <c r="J255" s="75">
        <v>81753.173721494197</v>
      </c>
      <c r="K255" s="73"/>
      <c r="M255" s="72"/>
      <c r="N255" s="54">
        <v>246</v>
      </c>
      <c r="O255" s="70">
        <v>91279.07249999998</v>
      </c>
      <c r="P255" s="75">
        <v>16039</v>
      </c>
      <c r="Q255" s="75">
        <v>90240</v>
      </c>
      <c r="R255" s="194">
        <v>370011.72249999997</v>
      </c>
      <c r="S255" s="194">
        <v>6512</v>
      </c>
      <c r="T255" s="70">
        <v>1964.7775000000008</v>
      </c>
      <c r="U255" s="80">
        <v>81753.173721494197</v>
      </c>
      <c r="V255" s="73"/>
      <c r="X255" s="30"/>
      <c r="Y255" s="54">
        <v>246</v>
      </c>
      <c r="Z255" s="70">
        <v>60271.15</v>
      </c>
      <c r="AA255" s="75">
        <v>9890</v>
      </c>
      <c r="AB255" s="75">
        <v>5292.84</v>
      </c>
      <c r="AC255" s="75">
        <v>82921.16</v>
      </c>
      <c r="AD255" s="194">
        <v>339902.5</v>
      </c>
      <c r="AE255" s="194">
        <v>7410.7</v>
      </c>
      <c r="AF255" s="76">
        <v>0.06</v>
      </c>
      <c r="AG255" s="70">
        <v>3461.5000000000009</v>
      </c>
      <c r="AH255" s="31"/>
    </row>
    <row r="256" spans="3:34" x14ac:dyDescent="0.25">
      <c r="C256" s="72"/>
      <c r="D256" s="54">
        <v>247</v>
      </c>
      <c r="E256" s="70">
        <v>44493.59</v>
      </c>
      <c r="F256" s="75">
        <v>7567</v>
      </c>
      <c r="G256" s="75">
        <v>86449</v>
      </c>
      <c r="H256" s="194">
        <v>329056</v>
      </c>
      <c r="I256" s="194">
        <v>12341.76</v>
      </c>
      <c r="J256" s="75">
        <v>81753.173721494197</v>
      </c>
      <c r="K256" s="73"/>
      <c r="M256" s="72"/>
      <c r="N256" s="54">
        <v>247</v>
      </c>
      <c r="O256" s="70">
        <v>49331.322500000009</v>
      </c>
      <c r="P256" s="75">
        <v>11079</v>
      </c>
      <c r="Q256" s="75">
        <v>82937</v>
      </c>
      <c r="R256" s="194">
        <v>327698.82250000001</v>
      </c>
      <c r="S256" s="194">
        <v>6146.85</v>
      </c>
      <c r="T256" s="70">
        <v>1357.1775000000007</v>
      </c>
      <c r="U256" s="80">
        <v>81753.173721494197</v>
      </c>
      <c r="V256" s="73"/>
      <c r="X256" s="30"/>
      <c r="Y256" s="54">
        <v>247</v>
      </c>
      <c r="Z256" s="70">
        <v>87649.000000000015</v>
      </c>
      <c r="AA256" s="75">
        <v>12643</v>
      </c>
      <c r="AB256" s="75">
        <v>4681.8</v>
      </c>
      <c r="AC256" s="75">
        <v>88954.2</v>
      </c>
      <c r="AD256" s="194">
        <v>367551.45</v>
      </c>
      <c r="AE256" s="194">
        <v>7681.8</v>
      </c>
      <c r="AF256" s="76">
        <v>0.05</v>
      </c>
      <c r="AG256" s="70">
        <v>4425.0500000000011</v>
      </c>
      <c r="AH256" s="31"/>
    </row>
    <row r="257" spans="3:34" x14ac:dyDescent="0.25">
      <c r="C257" s="72"/>
      <c r="D257" s="54">
        <v>248</v>
      </c>
      <c r="E257" s="70">
        <v>44493.59</v>
      </c>
      <c r="F257" s="75">
        <v>6386</v>
      </c>
      <c r="G257" s="75">
        <v>87630</v>
      </c>
      <c r="H257" s="194">
        <v>329056</v>
      </c>
      <c r="I257" s="194">
        <v>12341.76</v>
      </c>
      <c r="J257" s="75">
        <v>81753.173721494197</v>
      </c>
      <c r="K257" s="73"/>
      <c r="M257" s="72"/>
      <c r="N257" s="54">
        <v>248</v>
      </c>
      <c r="O257" s="70">
        <v>35242.947499999987</v>
      </c>
      <c r="P257" s="75">
        <v>10869</v>
      </c>
      <c r="Q257" s="75">
        <v>79059</v>
      </c>
      <c r="R257" s="194">
        <v>313416.54749999999</v>
      </c>
      <c r="S257" s="194">
        <v>5952.9500000000007</v>
      </c>
      <c r="T257" s="70">
        <v>1331.4525000000006</v>
      </c>
      <c r="U257" s="80">
        <v>81753.173721494197</v>
      </c>
      <c r="V257" s="73"/>
      <c r="X257" s="30"/>
      <c r="Y257" s="54">
        <v>248</v>
      </c>
      <c r="Z257" s="70">
        <v>59700.85000000002</v>
      </c>
      <c r="AA257" s="75">
        <v>11791</v>
      </c>
      <c r="AB257" s="75">
        <v>4315.6500000000005</v>
      </c>
      <c r="AC257" s="75">
        <v>81997.350000000006</v>
      </c>
      <c r="AD257" s="194">
        <v>339237.15</v>
      </c>
      <c r="AE257" s="194">
        <v>7315.6500000000005</v>
      </c>
      <c r="AF257" s="76">
        <v>0.05</v>
      </c>
      <c r="AG257" s="70">
        <v>4126.8500000000013</v>
      </c>
      <c r="AH257" s="31"/>
    </row>
    <row r="258" spans="3:34" x14ac:dyDescent="0.25">
      <c r="C258" s="72"/>
      <c r="D258" s="54">
        <v>249</v>
      </c>
      <c r="E258" s="70">
        <v>30635.27</v>
      </c>
      <c r="F258" s="75">
        <v>7186</v>
      </c>
      <c r="G258" s="75">
        <v>82742</v>
      </c>
      <c r="H258" s="194">
        <v>314748</v>
      </c>
      <c r="I258" s="194">
        <v>11892.08</v>
      </c>
      <c r="J258" s="75">
        <v>81753.173721494197</v>
      </c>
      <c r="K258" s="73"/>
      <c r="M258" s="72"/>
      <c r="N258" s="54">
        <v>249</v>
      </c>
      <c r="O258" s="70">
        <v>35306.819999999971</v>
      </c>
      <c r="P258" s="75">
        <v>9988</v>
      </c>
      <c r="Q258" s="75">
        <v>79940</v>
      </c>
      <c r="R258" s="194">
        <v>313524.46999999997</v>
      </c>
      <c r="S258" s="194">
        <v>5997</v>
      </c>
      <c r="T258" s="70">
        <v>1223.5300000000004</v>
      </c>
      <c r="U258" s="80">
        <v>81753.173721494197</v>
      </c>
      <c r="V258" s="73"/>
      <c r="X258" s="30"/>
      <c r="Y258" s="54">
        <v>249</v>
      </c>
      <c r="Z258" s="70">
        <v>31778.349999999988</v>
      </c>
      <c r="AA258" s="75">
        <v>10842</v>
      </c>
      <c r="AB258" s="75">
        <v>3954.3</v>
      </c>
      <c r="AC258" s="75">
        <v>75131.7</v>
      </c>
      <c r="AD258" s="194">
        <v>310953.3</v>
      </c>
      <c r="AE258" s="194">
        <v>6954.3</v>
      </c>
      <c r="AF258" s="76">
        <v>0.05</v>
      </c>
      <c r="AG258" s="70">
        <v>3794.7000000000012</v>
      </c>
      <c r="AH258" s="31"/>
    </row>
    <row r="259" spans="3:34" x14ac:dyDescent="0.25">
      <c r="C259" s="72"/>
      <c r="D259" s="54">
        <v>250</v>
      </c>
      <c r="E259" s="70">
        <v>44493.59</v>
      </c>
      <c r="F259" s="75">
        <v>9761</v>
      </c>
      <c r="G259" s="75">
        <v>84255</v>
      </c>
      <c r="H259" s="194">
        <v>329056</v>
      </c>
      <c r="I259" s="194">
        <v>12341.76</v>
      </c>
      <c r="J259" s="75">
        <v>81753.173721494197</v>
      </c>
      <c r="K259" s="73"/>
      <c r="M259" s="72"/>
      <c r="N259" s="54">
        <v>250</v>
      </c>
      <c r="O259" s="70">
        <v>63165.51249999999</v>
      </c>
      <c r="P259" s="75">
        <v>14795</v>
      </c>
      <c r="Q259" s="75">
        <v>83309</v>
      </c>
      <c r="R259" s="194">
        <v>341551.61249999999</v>
      </c>
      <c r="S259" s="194">
        <v>6165.45</v>
      </c>
      <c r="T259" s="70">
        <v>1812.3875000000007</v>
      </c>
      <c r="U259" s="80">
        <v>81753.173721494197</v>
      </c>
      <c r="V259" s="73"/>
      <c r="X259" s="30"/>
      <c r="Y259" s="54">
        <v>250</v>
      </c>
      <c r="Z259" s="70">
        <v>45970.750000000022</v>
      </c>
      <c r="AA259" s="75">
        <v>10546</v>
      </c>
      <c r="AB259" s="75">
        <v>7512.2999999999993</v>
      </c>
      <c r="AC259" s="75">
        <v>75957.7</v>
      </c>
      <c r="AD259" s="194">
        <v>325364.90000000002</v>
      </c>
      <c r="AE259" s="194">
        <v>7173.5</v>
      </c>
      <c r="AF259" s="76">
        <v>0.09</v>
      </c>
      <c r="AG259" s="70">
        <v>3691.1000000000008</v>
      </c>
      <c r="AH259" s="31"/>
    </row>
    <row r="260" spans="3:34" x14ac:dyDescent="0.25">
      <c r="C260" s="72"/>
      <c r="D260" s="54">
        <v>251</v>
      </c>
      <c r="E260" s="70">
        <v>44493.59</v>
      </c>
      <c r="F260" s="75">
        <v>8505</v>
      </c>
      <c r="G260" s="75">
        <v>85511</v>
      </c>
      <c r="H260" s="194">
        <v>329056</v>
      </c>
      <c r="I260" s="194">
        <v>12341.76</v>
      </c>
      <c r="J260" s="75">
        <v>81753.173721494197</v>
      </c>
      <c r="K260" s="73"/>
      <c r="M260" s="72"/>
      <c r="N260" s="54">
        <v>251</v>
      </c>
      <c r="O260" s="70">
        <v>35370.837500000009</v>
      </c>
      <c r="P260" s="75">
        <v>9105</v>
      </c>
      <c r="Q260" s="75">
        <v>80823</v>
      </c>
      <c r="R260" s="194">
        <v>313632.63750000001</v>
      </c>
      <c r="S260" s="194">
        <v>6041.15</v>
      </c>
      <c r="T260" s="70">
        <v>1115.3625000000004</v>
      </c>
      <c r="U260" s="80">
        <v>81753.173721494197</v>
      </c>
      <c r="V260" s="73"/>
      <c r="X260" s="30"/>
      <c r="Y260" s="54">
        <v>251</v>
      </c>
      <c r="Z260" s="70">
        <v>58805.35000000002</v>
      </c>
      <c r="AA260" s="75">
        <v>14776</v>
      </c>
      <c r="AB260" s="75">
        <v>5832.9600000000009</v>
      </c>
      <c r="AC260" s="75">
        <v>77495.039999999994</v>
      </c>
      <c r="AD260" s="194">
        <v>338192.4</v>
      </c>
      <c r="AE260" s="194">
        <v>7166.4000000000005</v>
      </c>
      <c r="AF260" s="76">
        <v>7.0000000000000007E-2</v>
      </c>
      <c r="AG260" s="70">
        <v>5171.6000000000013</v>
      </c>
      <c r="AH260" s="31"/>
    </row>
    <row r="261" spans="3:34" x14ac:dyDescent="0.25">
      <c r="C261" s="72"/>
      <c r="D261" s="54">
        <v>252</v>
      </c>
      <c r="E261" s="70">
        <v>86065.16</v>
      </c>
      <c r="F261" s="75">
        <v>6381</v>
      </c>
      <c r="G261" s="75">
        <v>99898</v>
      </c>
      <c r="H261" s="194">
        <v>371976.5</v>
      </c>
      <c r="I261" s="194">
        <v>13690.69</v>
      </c>
      <c r="J261" s="75">
        <v>81753.173721494197</v>
      </c>
      <c r="K261" s="73"/>
      <c r="M261" s="72"/>
      <c r="N261" s="54">
        <v>252</v>
      </c>
      <c r="O261" s="70">
        <v>35235.987499999974</v>
      </c>
      <c r="P261" s="75">
        <v>10965</v>
      </c>
      <c r="Q261" s="75">
        <v>78963</v>
      </c>
      <c r="R261" s="194">
        <v>313404.78749999998</v>
      </c>
      <c r="S261" s="194">
        <v>5948.15</v>
      </c>
      <c r="T261" s="70">
        <v>1343.2125000000005</v>
      </c>
      <c r="U261" s="80">
        <v>81753.173721494197</v>
      </c>
      <c r="V261" s="73"/>
      <c r="X261" s="30"/>
      <c r="Y261" s="54">
        <v>252</v>
      </c>
      <c r="Z261" s="70">
        <v>44916.55</v>
      </c>
      <c r="AA261" s="75">
        <v>14060</v>
      </c>
      <c r="AB261" s="75">
        <v>4797.3599999999997</v>
      </c>
      <c r="AC261" s="75">
        <v>75158.64</v>
      </c>
      <c r="AD261" s="194">
        <v>324135</v>
      </c>
      <c r="AE261" s="194">
        <v>6997.8</v>
      </c>
      <c r="AF261" s="76">
        <v>0.06</v>
      </c>
      <c r="AG261" s="70">
        <v>4921.0000000000009</v>
      </c>
      <c r="AH261" s="31"/>
    </row>
    <row r="262" spans="3:34" x14ac:dyDescent="0.25">
      <c r="C262" s="72"/>
      <c r="D262" s="54">
        <v>253</v>
      </c>
      <c r="E262" s="70">
        <v>30635.27</v>
      </c>
      <c r="F262" s="75">
        <v>8094</v>
      </c>
      <c r="G262" s="75">
        <v>81834</v>
      </c>
      <c r="H262" s="194">
        <v>314748</v>
      </c>
      <c r="I262" s="194">
        <v>11892.08</v>
      </c>
      <c r="J262" s="75">
        <v>81753.173721494197</v>
      </c>
      <c r="K262" s="73"/>
      <c r="M262" s="72"/>
      <c r="N262" s="54">
        <v>253</v>
      </c>
      <c r="O262" s="70">
        <v>49242.655000000006</v>
      </c>
      <c r="P262" s="75">
        <v>12302</v>
      </c>
      <c r="Q262" s="75">
        <v>81714</v>
      </c>
      <c r="R262" s="194">
        <v>327549.005</v>
      </c>
      <c r="S262" s="194">
        <v>6085.7000000000007</v>
      </c>
      <c r="T262" s="70">
        <v>1506.9950000000006</v>
      </c>
      <c r="U262" s="80">
        <v>81753.173721494197</v>
      </c>
      <c r="V262" s="73"/>
      <c r="X262" s="30"/>
      <c r="Y262" s="54">
        <v>253</v>
      </c>
      <c r="Z262" s="70">
        <v>32337.849999999988</v>
      </c>
      <c r="AA262" s="75">
        <v>8977</v>
      </c>
      <c r="AB262" s="75">
        <v>5666.5700000000006</v>
      </c>
      <c r="AC262" s="75">
        <v>75284.429999999993</v>
      </c>
      <c r="AD262" s="194">
        <v>311606.05</v>
      </c>
      <c r="AE262" s="194">
        <v>7047.55</v>
      </c>
      <c r="AF262" s="76">
        <v>7.0000000000000007E-2</v>
      </c>
      <c r="AG262" s="70">
        <v>3141.9500000000007</v>
      </c>
      <c r="AH262" s="31"/>
    </row>
    <row r="263" spans="3:34" x14ac:dyDescent="0.25">
      <c r="C263" s="72"/>
      <c r="D263" s="54">
        <v>254</v>
      </c>
      <c r="E263" s="70">
        <v>44493.59</v>
      </c>
      <c r="F263" s="75">
        <v>9407</v>
      </c>
      <c r="G263" s="75">
        <v>84609</v>
      </c>
      <c r="H263" s="194">
        <v>329056</v>
      </c>
      <c r="I263" s="194">
        <v>12341.76</v>
      </c>
      <c r="J263" s="75">
        <v>81753.173721494197</v>
      </c>
      <c r="K263" s="73"/>
      <c r="M263" s="72"/>
      <c r="N263" s="54">
        <v>254</v>
      </c>
      <c r="O263" s="70">
        <v>63393.017500000016</v>
      </c>
      <c r="P263" s="75">
        <v>11657</v>
      </c>
      <c r="Q263" s="75">
        <v>86447</v>
      </c>
      <c r="R263" s="194">
        <v>341936.01750000002</v>
      </c>
      <c r="S263" s="194">
        <v>6322.35</v>
      </c>
      <c r="T263" s="70">
        <v>1427.9825000000005</v>
      </c>
      <c r="U263" s="80">
        <v>81753.173721494197</v>
      </c>
      <c r="V263" s="73"/>
      <c r="X263" s="30"/>
      <c r="Y263" s="54">
        <v>254</v>
      </c>
      <c r="Z263" s="70">
        <v>60292.15</v>
      </c>
      <c r="AA263" s="75">
        <v>9820</v>
      </c>
      <c r="AB263" s="75">
        <v>8828.4</v>
      </c>
      <c r="AC263" s="75">
        <v>79455.600000000006</v>
      </c>
      <c r="AD263" s="194">
        <v>339927</v>
      </c>
      <c r="AE263" s="194">
        <v>7414.2</v>
      </c>
      <c r="AF263" s="76">
        <v>0.1</v>
      </c>
      <c r="AG263" s="70">
        <v>3437.0000000000009</v>
      </c>
      <c r="AH263" s="31"/>
    </row>
    <row r="264" spans="3:34" x14ac:dyDescent="0.25">
      <c r="C264" s="72"/>
      <c r="D264" s="54">
        <v>255</v>
      </c>
      <c r="E264" s="70">
        <v>44493.59</v>
      </c>
      <c r="F264" s="75">
        <v>8508</v>
      </c>
      <c r="G264" s="75">
        <v>85508</v>
      </c>
      <c r="H264" s="194">
        <v>329056</v>
      </c>
      <c r="I264" s="194">
        <v>12341.76</v>
      </c>
      <c r="J264" s="75">
        <v>81753.173721494197</v>
      </c>
      <c r="K264" s="73"/>
      <c r="M264" s="72"/>
      <c r="N264" s="54">
        <v>255</v>
      </c>
      <c r="O264" s="70">
        <v>35250.705000000031</v>
      </c>
      <c r="P264" s="75">
        <v>10762</v>
      </c>
      <c r="Q264" s="75">
        <v>79166</v>
      </c>
      <c r="R264" s="194">
        <v>313429.65500000003</v>
      </c>
      <c r="S264" s="194">
        <v>5958.3</v>
      </c>
      <c r="T264" s="70">
        <v>1318.3450000000005</v>
      </c>
      <c r="U264" s="80">
        <v>81753.173721494197</v>
      </c>
      <c r="V264" s="73"/>
      <c r="X264" s="30"/>
      <c r="Y264" s="54">
        <v>255</v>
      </c>
      <c r="Z264" s="70">
        <v>45750.849999999977</v>
      </c>
      <c r="AA264" s="75">
        <v>11279</v>
      </c>
      <c r="AB264" s="75">
        <v>4964.22</v>
      </c>
      <c r="AC264" s="75">
        <v>77772.78</v>
      </c>
      <c r="AD264" s="194">
        <v>325108.34999999998</v>
      </c>
      <c r="AE264" s="194">
        <v>7136.85</v>
      </c>
      <c r="AF264" s="76">
        <v>0.06</v>
      </c>
      <c r="AG264" s="70">
        <v>3947.650000000001</v>
      </c>
      <c r="AH264" s="31"/>
    </row>
    <row r="265" spans="3:34" x14ac:dyDescent="0.25">
      <c r="C265" s="72"/>
      <c r="D265" s="54">
        <v>256</v>
      </c>
      <c r="E265" s="70">
        <v>86065.16</v>
      </c>
      <c r="F265" s="75">
        <v>6281</v>
      </c>
      <c r="G265" s="75">
        <v>99998</v>
      </c>
      <c r="H265" s="194">
        <v>371976.5</v>
      </c>
      <c r="I265" s="194">
        <v>13690.69</v>
      </c>
      <c r="J265" s="75">
        <v>81753.173721494197</v>
      </c>
      <c r="K265" s="73"/>
      <c r="M265" s="72"/>
      <c r="N265" s="54">
        <v>256</v>
      </c>
      <c r="O265" s="70">
        <v>63316.530000000028</v>
      </c>
      <c r="P265" s="75">
        <v>12712</v>
      </c>
      <c r="Q265" s="75">
        <v>85392</v>
      </c>
      <c r="R265" s="194">
        <v>341806.78</v>
      </c>
      <c r="S265" s="194">
        <v>6269.6</v>
      </c>
      <c r="T265" s="70">
        <v>1557.2200000000007</v>
      </c>
      <c r="U265" s="80">
        <v>81753.173721494197</v>
      </c>
      <c r="V265" s="73"/>
      <c r="X265" s="30"/>
      <c r="Y265" s="54">
        <v>256</v>
      </c>
      <c r="Z265" s="70">
        <v>59106.250000000015</v>
      </c>
      <c r="AA265" s="75">
        <v>13773</v>
      </c>
      <c r="AB265" s="75">
        <v>6746.4800000000005</v>
      </c>
      <c r="AC265" s="75">
        <v>77584.52</v>
      </c>
      <c r="AD265" s="194">
        <v>338543.45</v>
      </c>
      <c r="AE265" s="194">
        <v>7216.55</v>
      </c>
      <c r="AF265" s="76">
        <v>0.08</v>
      </c>
      <c r="AG265" s="70">
        <v>4820.5500000000011</v>
      </c>
      <c r="AH265" s="31"/>
    </row>
    <row r="266" spans="3:34" x14ac:dyDescent="0.25">
      <c r="C266" s="72"/>
      <c r="D266" s="54">
        <v>257</v>
      </c>
      <c r="E266" s="70">
        <v>44493.59</v>
      </c>
      <c r="F266" s="75">
        <v>7507</v>
      </c>
      <c r="G266" s="75">
        <v>86509</v>
      </c>
      <c r="H266" s="194">
        <v>329056</v>
      </c>
      <c r="I266" s="194">
        <v>12341.76</v>
      </c>
      <c r="J266" s="75">
        <v>81753.173721494197</v>
      </c>
      <c r="K266" s="73"/>
      <c r="M266" s="72"/>
      <c r="N266" s="54">
        <v>257</v>
      </c>
      <c r="O266" s="70">
        <v>35313.199999999997</v>
      </c>
      <c r="P266" s="75">
        <v>9900</v>
      </c>
      <c r="Q266" s="75">
        <v>80028</v>
      </c>
      <c r="R266" s="194">
        <v>313535.25</v>
      </c>
      <c r="S266" s="194">
        <v>6001.4</v>
      </c>
      <c r="T266" s="70">
        <v>1212.7500000000005</v>
      </c>
      <c r="U266" s="80">
        <v>81753.173721494197</v>
      </c>
      <c r="V266" s="73"/>
      <c r="X266" s="30"/>
      <c r="Y266" s="54">
        <v>257</v>
      </c>
      <c r="Z266" s="70">
        <v>45183.849999999977</v>
      </c>
      <c r="AA266" s="75">
        <v>13169</v>
      </c>
      <c r="AB266" s="75">
        <v>8084.7000000000007</v>
      </c>
      <c r="AC266" s="75">
        <v>72762.3</v>
      </c>
      <c r="AD266" s="194">
        <v>324446.84999999998</v>
      </c>
      <c r="AE266" s="194">
        <v>7042.35</v>
      </c>
      <c r="AF266" s="76">
        <v>0.1</v>
      </c>
      <c r="AG266" s="70">
        <v>4609.1500000000015</v>
      </c>
      <c r="AH266" s="31"/>
    </row>
    <row r="267" spans="3:34" x14ac:dyDescent="0.25">
      <c r="C267" s="72"/>
      <c r="D267" s="54">
        <v>258</v>
      </c>
      <c r="E267" s="70">
        <v>44493.59</v>
      </c>
      <c r="F267" s="75">
        <v>5582</v>
      </c>
      <c r="G267" s="75">
        <v>88434</v>
      </c>
      <c r="H267" s="194">
        <v>329056</v>
      </c>
      <c r="I267" s="194">
        <v>12341.76</v>
      </c>
      <c r="J267" s="75">
        <v>81753.173721494197</v>
      </c>
      <c r="K267" s="73"/>
      <c r="M267" s="72"/>
      <c r="N267" s="54">
        <v>258</v>
      </c>
      <c r="O267" s="70">
        <v>49382.652499999989</v>
      </c>
      <c r="P267" s="75">
        <v>10371</v>
      </c>
      <c r="Q267" s="75">
        <v>83645</v>
      </c>
      <c r="R267" s="194">
        <v>327785.55249999999</v>
      </c>
      <c r="S267" s="194">
        <v>6182.25</v>
      </c>
      <c r="T267" s="70">
        <v>1270.4475000000004</v>
      </c>
      <c r="U267" s="80">
        <v>81753.173721494197</v>
      </c>
      <c r="V267" s="73"/>
      <c r="X267" s="30"/>
      <c r="Y267" s="54">
        <v>258</v>
      </c>
      <c r="Z267" s="70">
        <v>46354.150000000009</v>
      </c>
      <c r="AA267" s="75">
        <v>9268</v>
      </c>
      <c r="AB267" s="75">
        <v>6779.84</v>
      </c>
      <c r="AC267" s="75">
        <v>77968.160000000003</v>
      </c>
      <c r="AD267" s="194">
        <v>325812.2</v>
      </c>
      <c r="AE267" s="194">
        <v>7237.4000000000005</v>
      </c>
      <c r="AF267" s="76">
        <v>0.08</v>
      </c>
      <c r="AG267" s="70">
        <v>3243.8000000000006</v>
      </c>
      <c r="AH267" s="31"/>
    </row>
    <row r="268" spans="3:34" x14ac:dyDescent="0.25">
      <c r="C268" s="72"/>
      <c r="D268" s="54">
        <v>259</v>
      </c>
      <c r="E268" s="70">
        <v>44493.59</v>
      </c>
      <c r="F268" s="75">
        <v>9391</v>
      </c>
      <c r="G268" s="75">
        <v>84625</v>
      </c>
      <c r="H268" s="194">
        <v>329056</v>
      </c>
      <c r="I268" s="194">
        <v>12341.76</v>
      </c>
      <c r="J268" s="75">
        <v>81753.173721494197</v>
      </c>
      <c r="K268" s="73"/>
      <c r="M268" s="72"/>
      <c r="N268" s="54">
        <v>259</v>
      </c>
      <c r="O268" s="70">
        <v>91593.215000000011</v>
      </c>
      <c r="P268" s="75">
        <v>11706</v>
      </c>
      <c r="Q268" s="75">
        <v>94573</v>
      </c>
      <c r="R268" s="194">
        <v>370542.51500000001</v>
      </c>
      <c r="S268" s="194">
        <v>6728.6500000000005</v>
      </c>
      <c r="T268" s="70">
        <v>1433.9850000000006</v>
      </c>
      <c r="U268" s="80">
        <v>81753.173721494197</v>
      </c>
      <c r="V268" s="73"/>
      <c r="X268" s="30"/>
      <c r="Y268" s="54">
        <v>259</v>
      </c>
      <c r="Z268" s="70">
        <v>46024.750000000022</v>
      </c>
      <c r="AA268" s="75">
        <v>10366</v>
      </c>
      <c r="AB268" s="75">
        <v>5019</v>
      </c>
      <c r="AC268" s="75">
        <v>78631</v>
      </c>
      <c r="AD268" s="194">
        <v>325427.90000000002</v>
      </c>
      <c r="AE268" s="194">
        <v>7182.5</v>
      </c>
      <c r="AF268" s="76">
        <v>0.06</v>
      </c>
      <c r="AG268" s="70">
        <v>3628.1000000000008</v>
      </c>
      <c r="AH268" s="31"/>
    </row>
    <row r="269" spans="3:34" x14ac:dyDescent="0.25">
      <c r="C269" s="72"/>
      <c r="D269" s="54">
        <v>260</v>
      </c>
      <c r="E269" s="70">
        <v>58351.91</v>
      </c>
      <c r="F269" s="75">
        <v>5899</v>
      </c>
      <c r="G269" s="75">
        <v>92205</v>
      </c>
      <c r="H269" s="194">
        <v>343364</v>
      </c>
      <c r="I269" s="194">
        <v>12791.44</v>
      </c>
      <c r="J269" s="75">
        <v>81753.173721494197</v>
      </c>
      <c r="K269" s="73"/>
      <c r="M269" s="72"/>
      <c r="N269" s="54">
        <v>260</v>
      </c>
      <c r="O269" s="70">
        <v>63169.427499999976</v>
      </c>
      <c r="P269" s="75">
        <v>14741</v>
      </c>
      <c r="Q269" s="75">
        <v>83363</v>
      </c>
      <c r="R269" s="194">
        <v>341558.22749999998</v>
      </c>
      <c r="S269" s="194">
        <v>6168.1500000000005</v>
      </c>
      <c r="T269" s="70">
        <v>1805.7725000000007</v>
      </c>
      <c r="U269" s="80">
        <v>81753.173721494197</v>
      </c>
      <c r="V269" s="73"/>
      <c r="X269" s="30"/>
      <c r="Y269" s="54">
        <v>260</v>
      </c>
      <c r="Z269" s="70">
        <v>46319.349999999977</v>
      </c>
      <c r="AA269" s="75">
        <v>9384</v>
      </c>
      <c r="AB269" s="75">
        <v>4231.6000000000004</v>
      </c>
      <c r="AC269" s="75">
        <v>80400.399999999994</v>
      </c>
      <c r="AD269" s="194">
        <v>325771.59999999998</v>
      </c>
      <c r="AE269" s="194">
        <v>7231.6</v>
      </c>
      <c r="AF269" s="76">
        <v>0.05</v>
      </c>
      <c r="AG269" s="70">
        <v>3284.400000000001</v>
      </c>
      <c r="AH269" s="31"/>
    </row>
    <row r="270" spans="3:34" x14ac:dyDescent="0.25">
      <c r="C270" s="72"/>
      <c r="D270" s="54">
        <v>261</v>
      </c>
      <c r="E270" s="70">
        <v>44493.59</v>
      </c>
      <c r="F270" s="75">
        <v>7513</v>
      </c>
      <c r="G270" s="75">
        <v>86503</v>
      </c>
      <c r="H270" s="194">
        <v>329056</v>
      </c>
      <c r="I270" s="194">
        <v>12341.76</v>
      </c>
      <c r="J270" s="75">
        <v>81753.173721494197</v>
      </c>
      <c r="K270" s="73"/>
      <c r="M270" s="72"/>
      <c r="N270" s="54">
        <v>261</v>
      </c>
      <c r="O270" s="70">
        <v>63459.13749999999</v>
      </c>
      <c r="P270" s="75">
        <v>10745</v>
      </c>
      <c r="Q270" s="75">
        <v>87359</v>
      </c>
      <c r="R270" s="194">
        <v>342047.73749999999</v>
      </c>
      <c r="S270" s="194">
        <v>6367.95</v>
      </c>
      <c r="T270" s="70">
        <v>1316.2625000000005</v>
      </c>
      <c r="U270" s="80">
        <v>81753.173721494197</v>
      </c>
      <c r="V270" s="73"/>
      <c r="X270" s="30"/>
      <c r="Y270" s="54">
        <v>261</v>
      </c>
      <c r="Z270" s="70">
        <v>32059.45</v>
      </c>
      <c r="AA270" s="75">
        <v>9905</v>
      </c>
      <c r="AB270" s="75">
        <v>4801.38</v>
      </c>
      <c r="AC270" s="75">
        <v>75221.62</v>
      </c>
      <c r="AD270" s="194">
        <v>311281.25</v>
      </c>
      <c r="AE270" s="194">
        <v>7001.15</v>
      </c>
      <c r="AF270" s="76">
        <v>0.06</v>
      </c>
      <c r="AG270" s="70">
        <v>3466.7500000000009</v>
      </c>
      <c r="AH270" s="31"/>
    </row>
    <row r="271" spans="3:34" x14ac:dyDescent="0.25">
      <c r="C271" s="72"/>
      <c r="D271" s="54">
        <v>262</v>
      </c>
      <c r="E271" s="70">
        <v>30635.27</v>
      </c>
      <c r="F271" s="75">
        <v>4500</v>
      </c>
      <c r="G271" s="75">
        <v>85428</v>
      </c>
      <c r="H271" s="194">
        <v>314748</v>
      </c>
      <c r="I271" s="194">
        <v>11892.08</v>
      </c>
      <c r="J271" s="75">
        <v>81753.173721494197</v>
      </c>
      <c r="K271" s="73"/>
      <c r="M271" s="72"/>
      <c r="N271" s="54">
        <v>262</v>
      </c>
      <c r="O271" s="70">
        <v>49114.112500000003</v>
      </c>
      <c r="P271" s="75">
        <v>14075</v>
      </c>
      <c r="Q271" s="75">
        <v>79941</v>
      </c>
      <c r="R271" s="194">
        <v>327331.8125</v>
      </c>
      <c r="S271" s="194">
        <v>5997.05</v>
      </c>
      <c r="T271" s="70">
        <v>1724.1875000000007</v>
      </c>
      <c r="U271" s="80">
        <v>81753.173721494197</v>
      </c>
      <c r="V271" s="73"/>
      <c r="X271" s="30"/>
      <c r="Y271" s="54">
        <v>262</v>
      </c>
      <c r="Z271" s="70">
        <v>32328.249999999978</v>
      </c>
      <c r="AA271" s="75">
        <v>9009</v>
      </c>
      <c r="AB271" s="75">
        <v>7282.71</v>
      </c>
      <c r="AC271" s="75">
        <v>73636.289999999994</v>
      </c>
      <c r="AD271" s="194">
        <v>311594.84999999998</v>
      </c>
      <c r="AE271" s="194">
        <v>7045.9500000000007</v>
      </c>
      <c r="AF271" s="76">
        <v>0.09</v>
      </c>
      <c r="AG271" s="70">
        <v>3153.150000000001</v>
      </c>
      <c r="AH271" s="31"/>
    </row>
    <row r="272" spans="3:34" x14ac:dyDescent="0.25">
      <c r="C272" s="72"/>
      <c r="D272" s="54">
        <v>263</v>
      </c>
      <c r="E272" s="70">
        <v>30635.27</v>
      </c>
      <c r="F272" s="75">
        <v>5340</v>
      </c>
      <c r="G272" s="75">
        <v>84588</v>
      </c>
      <c r="H272" s="194">
        <v>314748</v>
      </c>
      <c r="I272" s="194">
        <v>11892.08</v>
      </c>
      <c r="J272" s="75">
        <v>81753.173721494197</v>
      </c>
      <c r="K272" s="73"/>
      <c r="M272" s="72"/>
      <c r="N272" s="54">
        <v>263</v>
      </c>
      <c r="O272" s="70">
        <v>63533.44999999999</v>
      </c>
      <c r="P272" s="75">
        <v>9720</v>
      </c>
      <c r="Q272" s="75">
        <v>88384</v>
      </c>
      <c r="R272" s="194">
        <v>342173.3</v>
      </c>
      <c r="S272" s="194">
        <v>6419.2</v>
      </c>
      <c r="T272" s="70">
        <v>1190.7000000000005</v>
      </c>
      <c r="U272" s="80">
        <v>81753.173721494197</v>
      </c>
      <c r="V272" s="73"/>
      <c r="X272" s="30"/>
      <c r="Y272" s="54">
        <v>263</v>
      </c>
      <c r="Z272" s="70">
        <v>32356.45</v>
      </c>
      <c r="AA272" s="75">
        <v>8915</v>
      </c>
      <c r="AB272" s="75">
        <v>7291.17</v>
      </c>
      <c r="AC272" s="75">
        <v>73721.83</v>
      </c>
      <c r="AD272" s="194">
        <v>311627.75</v>
      </c>
      <c r="AE272" s="194">
        <v>7050.65</v>
      </c>
      <c r="AF272" s="76">
        <v>0.09</v>
      </c>
      <c r="AG272" s="70">
        <v>3120.2500000000009</v>
      </c>
      <c r="AH272" s="31"/>
    </row>
    <row r="273" spans="3:34" x14ac:dyDescent="0.25">
      <c r="C273" s="72"/>
      <c r="D273" s="54">
        <v>264</v>
      </c>
      <c r="E273" s="70">
        <v>44493.59</v>
      </c>
      <c r="F273" s="75">
        <v>6640</v>
      </c>
      <c r="G273" s="75">
        <v>87376</v>
      </c>
      <c r="H273" s="194">
        <v>329056</v>
      </c>
      <c r="I273" s="194">
        <v>12341.76</v>
      </c>
      <c r="J273" s="75">
        <v>81753.173721494197</v>
      </c>
      <c r="K273" s="73"/>
      <c r="M273" s="72"/>
      <c r="N273" s="54">
        <v>264</v>
      </c>
      <c r="O273" s="70">
        <v>35047.269999999982</v>
      </c>
      <c r="P273" s="75">
        <v>13568</v>
      </c>
      <c r="Q273" s="75">
        <v>76360</v>
      </c>
      <c r="R273" s="194">
        <v>313085.92</v>
      </c>
      <c r="S273" s="194">
        <v>5818</v>
      </c>
      <c r="T273" s="70">
        <v>1662.0800000000008</v>
      </c>
      <c r="U273" s="80">
        <v>81753.173721494197</v>
      </c>
      <c r="V273" s="73"/>
      <c r="X273" s="30"/>
      <c r="Y273" s="54">
        <v>264</v>
      </c>
      <c r="Z273" s="70">
        <v>58821.250000000015</v>
      </c>
      <c r="AA273" s="75">
        <v>14723</v>
      </c>
      <c r="AB273" s="75">
        <v>6670.4800000000005</v>
      </c>
      <c r="AC273" s="75">
        <v>76710.52</v>
      </c>
      <c r="AD273" s="194">
        <v>338210.95</v>
      </c>
      <c r="AE273" s="194">
        <v>7169.05</v>
      </c>
      <c r="AF273" s="76">
        <v>0.08</v>
      </c>
      <c r="AG273" s="70">
        <v>5153.0500000000011</v>
      </c>
      <c r="AH273" s="31"/>
    </row>
    <row r="274" spans="3:34" x14ac:dyDescent="0.25">
      <c r="C274" s="72"/>
      <c r="D274" s="54">
        <v>265</v>
      </c>
      <c r="E274" s="70">
        <v>44493.59</v>
      </c>
      <c r="F274" s="75">
        <v>6568</v>
      </c>
      <c r="G274" s="75">
        <v>87448</v>
      </c>
      <c r="H274" s="194">
        <v>329056</v>
      </c>
      <c r="I274" s="194">
        <v>12341.76</v>
      </c>
      <c r="J274" s="75">
        <v>81753.173721494197</v>
      </c>
      <c r="K274" s="73"/>
      <c r="M274" s="72"/>
      <c r="N274" s="54">
        <v>265</v>
      </c>
      <c r="O274" s="70">
        <v>35042.267500000031</v>
      </c>
      <c r="P274" s="75">
        <v>13637</v>
      </c>
      <c r="Q274" s="75">
        <v>76291</v>
      </c>
      <c r="R274" s="194">
        <v>313077.46750000003</v>
      </c>
      <c r="S274" s="194">
        <v>5814.55</v>
      </c>
      <c r="T274" s="70">
        <v>1670.5325000000007</v>
      </c>
      <c r="U274" s="80">
        <v>81753.173721494197</v>
      </c>
      <c r="V274" s="73"/>
      <c r="X274" s="30"/>
      <c r="Y274" s="54">
        <v>265</v>
      </c>
      <c r="Z274" s="70">
        <v>44902.44999999999</v>
      </c>
      <c r="AA274" s="75">
        <v>14107</v>
      </c>
      <c r="AB274" s="75">
        <v>4794.54</v>
      </c>
      <c r="AC274" s="75">
        <v>75114.460000000006</v>
      </c>
      <c r="AD274" s="194">
        <v>324118.55</v>
      </c>
      <c r="AE274" s="194">
        <v>6995.4500000000007</v>
      </c>
      <c r="AF274" s="76">
        <v>0.06</v>
      </c>
      <c r="AG274" s="70">
        <v>4937.4500000000016</v>
      </c>
      <c r="AH274" s="31"/>
    </row>
    <row r="275" spans="3:34" x14ac:dyDescent="0.25">
      <c r="C275" s="72"/>
      <c r="D275" s="54">
        <v>266</v>
      </c>
      <c r="E275" s="70">
        <v>44493.59</v>
      </c>
      <c r="F275" s="75">
        <v>9372</v>
      </c>
      <c r="G275" s="75">
        <v>84644</v>
      </c>
      <c r="H275" s="194">
        <v>329056</v>
      </c>
      <c r="I275" s="194">
        <v>12341.76</v>
      </c>
      <c r="J275" s="75">
        <v>81753.173721494197</v>
      </c>
      <c r="K275" s="73"/>
      <c r="M275" s="72"/>
      <c r="N275" s="54">
        <v>266</v>
      </c>
      <c r="O275" s="70">
        <v>35384.757499999971</v>
      </c>
      <c r="P275" s="75">
        <v>8913</v>
      </c>
      <c r="Q275" s="75">
        <v>81015</v>
      </c>
      <c r="R275" s="194">
        <v>313656.15749999997</v>
      </c>
      <c r="S275" s="194">
        <v>6050.75</v>
      </c>
      <c r="T275" s="70">
        <v>1091.8425000000004</v>
      </c>
      <c r="U275" s="80">
        <v>81753.173721494197</v>
      </c>
      <c r="V275" s="73"/>
      <c r="X275" s="30"/>
      <c r="Y275" s="54">
        <v>266</v>
      </c>
      <c r="Z275" s="70">
        <v>32051.650000000023</v>
      </c>
      <c r="AA275" s="75">
        <v>9931</v>
      </c>
      <c r="AB275" s="75">
        <v>7999.7000000000007</v>
      </c>
      <c r="AC275" s="75">
        <v>71997.3</v>
      </c>
      <c r="AD275" s="194">
        <v>311272.15000000002</v>
      </c>
      <c r="AE275" s="194">
        <v>6999.85</v>
      </c>
      <c r="AF275" s="76">
        <v>0.1</v>
      </c>
      <c r="AG275" s="70">
        <v>3475.8500000000008</v>
      </c>
      <c r="AH275" s="31"/>
    </row>
    <row r="276" spans="3:34" x14ac:dyDescent="0.25">
      <c r="C276" s="72"/>
      <c r="D276" s="54">
        <v>267</v>
      </c>
      <c r="E276" s="70">
        <v>58351.91</v>
      </c>
      <c r="F276" s="75">
        <v>8713</v>
      </c>
      <c r="G276" s="75">
        <v>89391</v>
      </c>
      <c r="H276" s="194">
        <v>343364</v>
      </c>
      <c r="I276" s="194">
        <v>12791.44</v>
      </c>
      <c r="J276" s="75">
        <v>81753.173721494197</v>
      </c>
      <c r="K276" s="73"/>
      <c r="M276" s="72"/>
      <c r="N276" s="54">
        <v>267</v>
      </c>
      <c r="O276" s="70">
        <v>49105.992500000029</v>
      </c>
      <c r="P276" s="75">
        <v>14187</v>
      </c>
      <c r="Q276" s="75">
        <v>79829</v>
      </c>
      <c r="R276" s="194">
        <v>327318.09250000003</v>
      </c>
      <c r="S276" s="194">
        <v>5991.4500000000007</v>
      </c>
      <c r="T276" s="70">
        <v>1737.9075000000007</v>
      </c>
      <c r="U276" s="80">
        <v>81753.173721494197</v>
      </c>
      <c r="V276" s="73"/>
      <c r="X276" s="30"/>
      <c r="Y276" s="54">
        <v>267</v>
      </c>
      <c r="Z276" s="70">
        <v>46291.150000000009</v>
      </c>
      <c r="AA276" s="75">
        <v>9478</v>
      </c>
      <c r="AB276" s="75">
        <v>8453.8000000000011</v>
      </c>
      <c r="AC276" s="75">
        <v>76084.2</v>
      </c>
      <c r="AD276" s="194">
        <v>325738.7</v>
      </c>
      <c r="AE276" s="194">
        <v>7226.9000000000005</v>
      </c>
      <c r="AF276" s="76">
        <v>0.1</v>
      </c>
      <c r="AG276" s="70">
        <v>3317.3000000000006</v>
      </c>
      <c r="AH276" s="31"/>
    </row>
    <row r="277" spans="3:34" x14ac:dyDescent="0.25">
      <c r="C277" s="72"/>
      <c r="D277" s="54">
        <v>268</v>
      </c>
      <c r="E277" s="70">
        <v>44493.59</v>
      </c>
      <c r="F277" s="75">
        <v>9482</v>
      </c>
      <c r="G277" s="75">
        <v>84534</v>
      </c>
      <c r="H277" s="194">
        <v>329056</v>
      </c>
      <c r="I277" s="194">
        <v>12341.76</v>
      </c>
      <c r="J277" s="75">
        <v>81753.173721494197</v>
      </c>
      <c r="K277" s="73"/>
      <c r="M277" s="72"/>
      <c r="N277" s="54">
        <v>268</v>
      </c>
      <c r="O277" s="70">
        <v>49393.237500000003</v>
      </c>
      <c r="P277" s="75">
        <v>10225</v>
      </c>
      <c r="Q277" s="75">
        <v>83791</v>
      </c>
      <c r="R277" s="194">
        <v>327803.4375</v>
      </c>
      <c r="S277" s="194">
        <v>6189.55</v>
      </c>
      <c r="T277" s="70">
        <v>1252.5625000000005</v>
      </c>
      <c r="U277" s="80">
        <v>81753.173721494197</v>
      </c>
      <c r="V277" s="73"/>
      <c r="X277" s="30"/>
      <c r="Y277" s="54">
        <v>268</v>
      </c>
      <c r="Z277" s="70">
        <v>44894.650000000009</v>
      </c>
      <c r="AA277" s="75">
        <v>14133</v>
      </c>
      <c r="AB277" s="75">
        <v>7988.3</v>
      </c>
      <c r="AC277" s="75">
        <v>71894.7</v>
      </c>
      <c r="AD277" s="194">
        <v>324109.45</v>
      </c>
      <c r="AE277" s="194">
        <v>6994.15</v>
      </c>
      <c r="AF277" s="76">
        <v>0.1</v>
      </c>
      <c r="AG277" s="70">
        <v>4946.5500000000011</v>
      </c>
      <c r="AH277" s="31"/>
    </row>
    <row r="278" spans="3:34" x14ac:dyDescent="0.25">
      <c r="C278" s="72"/>
      <c r="D278" s="54">
        <v>269</v>
      </c>
      <c r="E278" s="70">
        <v>44493.59</v>
      </c>
      <c r="F278" s="75">
        <v>9400</v>
      </c>
      <c r="G278" s="75">
        <v>84616</v>
      </c>
      <c r="H278" s="194">
        <v>329056</v>
      </c>
      <c r="I278" s="194">
        <v>12341.76</v>
      </c>
      <c r="J278" s="75">
        <v>81753.173721494197</v>
      </c>
      <c r="K278" s="73"/>
      <c r="M278" s="72"/>
      <c r="N278" s="54">
        <v>269</v>
      </c>
      <c r="O278" s="70">
        <v>35369.532499999994</v>
      </c>
      <c r="P278" s="75">
        <v>9123</v>
      </c>
      <c r="Q278" s="75">
        <v>80805</v>
      </c>
      <c r="R278" s="194">
        <v>313630.4325</v>
      </c>
      <c r="S278" s="194">
        <v>6040.25</v>
      </c>
      <c r="T278" s="70">
        <v>1117.5675000000006</v>
      </c>
      <c r="U278" s="80">
        <v>81753.173721494197</v>
      </c>
      <c r="V278" s="73"/>
      <c r="X278" s="30"/>
      <c r="Y278" s="54">
        <v>269</v>
      </c>
      <c r="Z278" s="70">
        <v>44912.94999999999</v>
      </c>
      <c r="AA278" s="75">
        <v>14072</v>
      </c>
      <c r="AB278" s="75">
        <v>4796.6399999999994</v>
      </c>
      <c r="AC278" s="75">
        <v>75147.360000000001</v>
      </c>
      <c r="AD278" s="194">
        <v>324130.8</v>
      </c>
      <c r="AE278" s="194">
        <v>6997.2000000000007</v>
      </c>
      <c r="AF278" s="76">
        <v>0.06</v>
      </c>
      <c r="AG278" s="70">
        <v>4925.2000000000016</v>
      </c>
      <c r="AH278" s="31"/>
    </row>
    <row r="279" spans="3:34" x14ac:dyDescent="0.25">
      <c r="C279" s="72"/>
      <c r="D279" s="54">
        <v>270</v>
      </c>
      <c r="E279" s="70">
        <v>58351.91</v>
      </c>
      <c r="F279" s="75">
        <v>7887</v>
      </c>
      <c r="G279" s="75">
        <v>90217</v>
      </c>
      <c r="H279" s="194">
        <v>343364</v>
      </c>
      <c r="I279" s="194">
        <v>12791.44</v>
      </c>
      <c r="J279" s="75">
        <v>81753.173721494197</v>
      </c>
      <c r="K279" s="73"/>
      <c r="M279" s="72"/>
      <c r="N279" s="54">
        <v>270</v>
      </c>
      <c r="O279" s="70">
        <v>49165.297499999986</v>
      </c>
      <c r="P279" s="75">
        <v>13369</v>
      </c>
      <c r="Q279" s="75">
        <v>80647</v>
      </c>
      <c r="R279" s="194">
        <v>327418.29749999999</v>
      </c>
      <c r="S279" s="194">
        <v>6032.35</v>
      </c>
      <c r="T279" s="70">
        <v>1637.7025000000008</v>
      </c>
      <c r="U279" s="80">
        <v>81753.173721494197</v>
      </c>
      <c r="V279" s="73"/>
      <c r="X279" s="30"/>
      <c r="Y279" s="54">
        <v>270</v>
      </c>
      <c r="Z279" s="70">
        <v>46055.94999999999</v>
      </c>
      <c r="AA279" s="75">
        <v>10262</v>
      </c>
      <c r="AB279" s="75">
        <v>5025.24</v>
      </c>
      <c r="AC279" s="75">
        <v>78728.759999999995</v>
      </c>
      <c r="AD279" s="194">
        <v>325464.3</v>
      </c>
      <c r="AE279" s="194">
        <v>7187.7</v>
      </c>
      <c r="AF279" s="76">
        <v>0.06</v>
      </c>
      <c r="AG279" s="70">
        <v>3591.7000000000007</v>
      </c>
      <c r="AH279" s="31"/>
    </row>
    <row r="280" spans="3:34" x14ac:dyDescent="0.25">
      <c r="C280" s="72"/>
      <c r="D280" s="54">
        <v>271</v>
      </c>
      <c r="E280" s="70">
        <v>30635.27</v>
      </c>
      <c r="F280" s="75">
        <v>4533</v>
      </c>
      <c r="G280" s="75">
        <v>85395</v>
      </c>
      <c r="H280" s="194">
        <v>314748</v>
      </c>
      <c r="I280" s="194">
        <v>11892.08</v>
      </c>
      <c r="J280" s="75">
        <v>81753.173721494197</v>
      </c>
      <c r="K280" s="73"/>
      <c r="M280" s="72"/>
      <c r="N280" s="54">
        <v>271</v>
      </c>
      <c r="O280" s="70">
        <v>49255.270000000004</v>
      </c>
      <c r="P280" s="75">
        <v>12128</v>
      </c>
      <c r="Q280" s="75">
        <v>81888</v>
      </c>
      <c r="R280" s="194">
        <v>327570.32</v>
      </c>
      <c r="S280" s="194">
        <v>6094.4</v>
      </c>
      <c r="T280" s="70">
        <v>1485.6800000000007</v>
      </c>
      <c r="U280" s="80">
        <v>81753.173721494197</v>
      </c>
      <c r="V280" s="73"/>
      <c r="X280" s="30"/>
      <c r="Y280" s="54">
        <v>271</v>
      </c>
      <c r="Z280" s="70">
        <v>60308.65</v>
      </c>
      <c r="AA280" s="75">
        <v>9765</v>
      </c>
      <c r="AB280" s="75">
        <v>8833.9</v>
      </c>
      <c r="AC280" s="75">
        <v>79505.100000000006</v>
      </c>
      <c r="AD280" s="194">
        <v>339946.25</v>
      </c>
      <c r="AE280" s="194">
        <v>7416.95</v>
      </c>
      <c r="AF280" s="76">
        <v>0.1</v>
      </c>
      <c r="AG280" s="70">
        <v>3417.7500000000009</v>
      </c>
      <c r="AH280" s="31"/>
    </row>
    <row r="281" spans="3:34" x14ac:dyDescent="0.25">
      <c r="C281" s="72"/>
      <c r="D281" s="54">
        <v>272</v>
      </c>
      <c r="E281" s="70">
        <v>44493.59</v>
      </c>
      <c r="F281" s="75">
        <v>6617</v>
      </c>
      <c r="G281" s="75">
        <v>87399</v>
      </c>
      <c r="H281" s="194">
        <v>329056</v>
      </c>
      <c r="I281" s="194">
        <v>12341.76</v>
      </c>
      <c r="J281" s="75">
        <v>81753.173721494197</v>
      </c>
      <c r="K281" s="73"/>
      <c r="M281" s="72"/>
      <c r="N281" s="54">
        <v>272</v>
      </c>
      <c r="O281" s="70">
        <v>49453.484999999986</v>
      </c>
      <c r="P281" s="75">
        <v>9394</v>
      </c>
      <c r="Q281" s="75">
        <v>84622</v>
      </c>
      <c r="R281" s="194">
        <v>327905.23499999999</v>
      </c>
      <c r="S281" s="194">
        <v>6231.1</v>
      </c>
      <c r="T281" s="70">
        <v>1150.7650000000006</v>
      </c>
      <c r="U281" s="80">
        <v>81753.173721494197</v>
      </c>
      <c r="V281" s="73"/>
      <c r="X281" s="30"/>
      <c r="Y281" s="54">
        <v>272</v>
      </c>
      <c r="Z281" s="70">
        <v>46022.05</v>
      </c>
      <c r="AA281" s="75">
        <v>10375</v>
      </c>
      <c r="AB281" s="75">
        <v>5854.8700000000008</v>
      </c>
      <c r="AC281" s="75">
        <v>77786.13</v>
      </c>
      <c r="AD281" s="194">
        <v>325424.75</v>
      </c>
      <c r="AE281" s="194">
        <v>7182.05</v>
      </c>
      <c r="AF281" s="76">
        <v>7.0000000000000007E-2</v>
      </c>
      <c r="AG281" s="70">
        <v>3631.2500000000009</v>
      </c>
      <c r="AH281" s="31"/>
    </row>
    <row r="282" spans="3:34" x14ac:dyDescent="0.25">
      <c r="C282" s="72"/>
      <c r="D282" s="54">
        <v>273</v>
      </c>
      <c r="E282" s="70">
        <v>44493.59</v>
      </c>
      <c r="F282" s="75">
        <v>4806</v>
      </c>
      <c r="G282" s="75">
        <v>89210</v>
      </c>
      <c r="H282" s="194">
        <v>329056</v>
      </c>
      <c r="I282" s="194">
        <v>12341.76</v>
      </c>
      <c r="J282" s="75">
        <v>81753.173721494197</v>
      </c>
      <c r="K282" s="73"/>
      <c r="M282" s="72"/>
      <c r="N282" s="54">
        <v>273</v>
      </c>
      <c r="O282" s="70">
        <v>63320.735000000008</v>
      </c>
      <c r="P282" s="75">
        <v>12654</v>
      </c>
      <c r="Q282" s="75">
        <v>85450</v>
      </c>
      <c r="R282" s="194">
        <v>341813.88500000001</v>
      </c>
      <c r="S282" s="194">
        <v>6272.5</v>
      </c>
      <c r="T282" s="70">
        <v>1550.1150000000007</v>
      </c>
      <c r="U282" s="80">
        <v>81753.173721494197</v>
      </c>
      <c r="V282" s="73"/>
      <c r="X282" s="30"/>
      <c r="Y282" s="54">
        <v>273</v>
      </c>
      <c r="Z282" s="70">
        <v>45995.650000000009</v>
      </c>
      <c r="AA282" s="75">
        <v>10463</v>
      </c>
      <c r="AB282" s="75">
        <v>4177.6500000000005</v>
      </c>
      <c r="AC282" s="75">
        <v>79375.350000000006</v>
      </c>
      <c r="AD282" s="194">
        <v>325393.95</v>
      </c>
      <c r="AE282" s="194">
        <v>7177.6500000000005</v>
      </c>
      <c r="AF282" s="76">
        <v>0.05</v>
      </c>
      <c r="AG282" s="70">
        <v>3662.0500000000011</v>
      </c>
      <c r="AH282" s="31"/>
    </row>
    <row r="283" spans="3:34" x14ac:dyDescent="0.25">
      <c r="C283" s="72"/>
      <c r="D283" s="54">
        <v>274</v>
      </c>
      <c r="E283" s="70">
        <v>58351.91</v>
      </c>
      <c r="F283" s="75">
        <v>4877</v>
      </c>
      <c r="G283" s="75">
        <v>93227</v>
      </c>
      <c r="H283" s="194">
        <v>343364</v>
      </c>
      <c r="I283" s="194">
        <v>12791.44</v>
      </c>
      <c r="J283" s="75">
        <v>81753.173721494197</v>
      </c>
      <c r="K283" s="73"/>
      <c r="M283" s="72"/>
      <c r="N283" s="54">
        <v>274</v>
      </c>
      <c r="O283" s="70">
        <v>63179.794999999998</v>
      </c>
      <c r="P283" s="75">
        <v>14598</v>
      </c>
      <c r="Q283" s="75">
        <v>83506</v>
      </c>
      <c r="R283" s="194">
        <v>341575.745</v>
      </c>
      <c r="S283" s="194">
        <v>6175.3</v>
      </c>
      <c r="T283" s="70">
        <v>1788.2550000000008</v>
      </c>
      <c r="U283" s="80">
        <v>81753.173721494197</v>
      </c>
      <c r="V283" s="73"/>
      <c r="X283" s="30"/>
      <c r="Y283" s="54">
        <v>274</v>
      </c>
      <c r="Z283" s="70">
        <v>31523.95</v>
      </c>
      <c r="AA283" s="75">
        <v>11690</v>
      </c>
      <c r="AB283" s="75">
        <v>4694.28</v>
      </c>
      <c r="AC283" s="75">
        <v>73543.72</v>
      </c>
      <c r="AD283" s="194">
        <v>310656.5</v>
      </c>
      <c r="AE283" s="194">
        <v>6911.9</v>
      </c>
      <c r="AF283" s="76">
        <v>0.06</v>
      </c>
      <c r="AG283" s="70">
        <v>4091.5000000000009</v>
      </c>
      <c r="AH283" s="31"/>
    </row>
    <row r="284" spans="3:34" x14ac:dyDescent="0.25">
      <c r="C284" s="72"/>
      <c r="D284" s="54">
        <v>275</v>
      </c>
      <c r="E284" s="70">
        <v>44493.59</v>
      </c>
      <c r="F284" s="75">
        <v>6520</v>
      </c>
      <c r="G284" s="75">
        <v>87496</v>
      </c>
      <c r="H284" s="194">
        <v>329056</v>
      </c>
      <c r="I284" s="194">
        <v>12341.76</v>
      </c>
      <c r="J284" s="75">
        <v>81753.173721494197</v>
      </c>
      <c r="K284" s="73"/>
      <c r="M284" s="72"/>
      <c r="N284" s="54">
        <v>275</v>
      </c>
      <c r="O284" s="70">
        <v>49099.177500000013</v>
      </c>
      <c r="P284" s="75">
        <v>14281</v>
      </c>
      <c r="Q284" s="75">
        <v>79735</v>
      </c>
      <c r="R284" s="194">
        <v>327306.57750000001</v>
      </c>
      <c r="S284" s="194">
        <v>5986.75</v>
      </c>
      <c r="T284" s="70">
        <v>1749.4225000000008</v>
      </c>
      <c r="U284" s="80">
        <v>81753.173721494197</v>
      </c>
      <c r="V284" s="73"/>
      <c r="X284" s="30"/>
      <c r="Y284" s="54">
        <v>275</v>
      </c>
      <c r="Z284" s="70">
        <v>32072.650000000023</v>
      </c>
      <c r="AA284" s="75">
        <v>9861</v>
      </c>
      <c r="AB284" s="75">
        <v>6405.3600000000006</v>
      </c>
      <c r="AC284" s="75">
        <v>73661.64</v>
      </c>
      <c r="AD284" s="194">
        <v>311296.65000000002</v>
      </c>
      <c r="AE284" s="194">
        <v>7003.35</v>
      </c>
      <c r="AF284" s="76">
        <v>0.08</v>
      </c>
      <c r="AG284" s="70">
        <v>3451.3500000000008</v>
      </c>
      <c r="AH284" s="31"/>
    </row>
    <row r="285" spans="3:34" x14ac:dyDescent="0.25">
      <c r="C285" s="72"/>
      <c r="D285" s="54">
        <v>276</v>
      </c>
      <c r="E285" s="70">
        <v>44493.59</v>
      </c>
      <c r="F285" s="75">
        <v>7347</v>
      </c>
      <c r="G285" s="75">
        <v>86669</v>
      </c>
      <c r="H285" s="194">
        <v>329056</v>
      </c>
      <c r="I285" s="194">
        <v>12341.76</v>
      </c>
      <c r="J285" s="75">
        <v>81753.173721494197</v>
      </c>
      <c r="K285" s="73"/>
      <c r="M285" s="72"/>
      <c r="N285" s="54">
        <v>276</v>
      </c>
      <c r="O285" s="70">
        <v>49178.927500000013</v>
      </c>
      <c r="P285" s="75">
        <v>13181</v>
      </c>
      <c r="Q285" s="75">
        <v>80835</v>
      </c>
      <c r="R285" s="194">
        <v>327441.32750000001</v>
      </c>
      <c r="S285" s="194">
        <v>6041.75</v>
      </c>
      <c r="T285" s="70">
        <v>1614.6725000000008</v>
      </c>
      <c r="U285" s="80">
        <v>81753.173721494197</v>
      </c>
      <c r="V285" s="73"/>
      <c r="X285" s="30"/>
      <c r="Y285" s="54">
        <v>276</v>
      </c>
      <c r="Z285" s="70">
        <v>46303.44999999999</v>
      </c>
      <c r="AA285" s="75">
        <v>9437</v>
      </c>
      <c r="AB285" s="75">
        <v>8457.9</v>
      </c>
      <c r="AC285" s="75">
        <v>76121.100000000006</v>
      </c>
      <c r="AD285" s="194">
        <v>325753.05</v>
      </c>
      <c r="AE285" s="194">
        <v>7228.95</v>
      </c>
      <c r="AF285" s="76">
        <v>0.1</v>
      </c>
      <c r="AG285" s="70">
        <v>3302.9500000000007</v>
      </c>
      <c r="AH285" s="31"/>
    </row>
    <row r="286" spans="3:34" x14ac:dyDescent="0.25">
      <c r="C286" s="72"/>
      <c r="D286" s="54">
        <v>277</v>
      </c>
      <c r="E286" s="70">
        <v>44493.59</v>
      </c>
      <c r="F286" s="75">
        <v>6638</v>
      </c>
      <c r="G286" s="75">
        <v>87378</v>
      </c>
      <c r="H286" s="194">
        <v>329056</v>
      </c>
      <c r="I286" s="194">
        <v>12341.76</v>
      </c>
      <c r="J286" s="75">
        <v>81753.173721494197</v>
      </c>
      <c r="K286" s="73"/>
      <c r="M286" s="72"/>
      <c r="N286" s="54">
        <v>277</v>
      </c>
      <c r="O286" s="70">
        <v>49384.972499999974</v>
      </c>
      <c r="P286" s="75">
        <v>10339</v>
      </c>
      <c r="Q286" s="75">
        <v>83677</v>
      </c>
      <c r="R286" s="194">
        <v>327789.47249999997</v>
      </c>
      <c r="S286" s="194">
        <v>6183.85</v>
      </c>
      <c r="T286" s="70">
        <v>1266.5275000000006</v>
      </c>
      <c r="U286" s="80">
        <v>81753.173721494197</v>
      </c>
      <c r="V286" s="73"/>
      <c r="X286" s="30"/>
      <c r="Y286" s="54">
        <v>277</v>
      </c>
      <c r="Z286" s="70">
        <v>45209.349999999977</v>
      </c>
      <c r="AA286" s="75">
        <v>13084</v>
      </c>
      <c r="AB286" s="75">
        <v>5665.2400000000007</v>
      </c>
      <c r="AC286" s="75">
        <v>75266.759999999995</v>
      </c>
      <c r="AD286" s="194">
        <v>324476.59999999998</v>
      </c>
      <c r="AE286" s="194">
        <v>7046.6</v>
      </c>
      <c r="AF286" s="76">
        <v>7.0000000000000007E-2</v>
      </c>
      <c r="AG286" s="70">
        <v>4579.4000000000015</v>
      </c>
      <c r="AH286" s="31"/>
    </row>
    <row r="287" spans="3:34" x14ac:dyDescent="0.25">
      <c r="C287" s="72"/>
      <c r="D287" s="54">
        <v>278</v>
      </c>
      <c r="E287" s="70">
        <v>58351.91</v>
      </c>
      <c r="F287" s="75">
        <v>9863</v>
      </c>
      <c r="G287" s="75">
        <v>88241</v>
      </c>
      <c r="H287" s="194">
        <v>343364</v>
      </c>
      <c r="I287" s="194">
        <v>12791.44</v>
      </c>
      <c r="J287" s="75">
        <v>81753.173721494197</v>
      </c>
      <c r="K287" s="73"/>
      <c r="M287" s="72"/>
      <c r="N287" s="54">
        <v>278</v>
      </c>
      <c r="O287" s="70">
        <v>49108.747499999998</v>
      </c>
      <c r="P287" s="75">
        <v>14149</v>
      </c>
      <c r="Q287" s="75">
        <v>79867</v>
      </c>
      <c r="R287" s="194">
        <v>327322.7475</v>
      </c>
      <c r="S287" s="194">
        <v>5993.35</v>
      </c>
      <c r="T287" s="70">
        <v>1733.2525000000007</v>
      </c>
      <c r="U287" s="80">
        <v>81753.173721494197</v>
      </c>
      <c r="V287" s="73"/>
      <c r="X287" s="30"/>
      <c r="Y287" s="54">
        <v>278</v>
      </c>
      <c r="Z287" s="70">
        <v>59987.65</v>
      </c>
      <c r="AA287" s="75">
        <v>10835</v>
      </c>
      <c r="AB287" s="75">
        <v>4363.45</v>
      </c>
      <c r="AC287" s="75">
        <v>82905.55</v>
      </c>
      <c r="AD287" s="194">
        <v>339571.75</v>
      </c>
      <c r="AE287" s="194">
        <v>7363.45</v>
      </c>
      <c r="AF287" s="76">
        <v>0.05</v>
      </c>
      <c r="AG287" s="70">
        <v>3792.2500000000009</v>
      </c>
      <c r="AH287" s="31"/>
    </row>
    <row r="288" spans="3:34" x14ac:dyDescent="0.25">
      <c r="C288" s="72"/>
      <c r="D288" s="54">
        <v>279</v>
      </c>
      <c r="E288" s="70">
        <v>44493.59</v>
      </c>
      <c r="F288" s="75">
        <v>9460</v>
      </c>
      <c r="G288" s="75">
        <v>84556</v>
      </c>
      <c r="H288" s="194">
        <v>329056</v>
      </c>
      <c r="I288" s="194">
        <v>12341.76</v>
      </c>
      <c r="J288" s="75">
        <v>81753.173721494197</v>
      </c>
      <c r="K288" s="73"/>
      <c r="M288" s="72"/>
      <c r="N288" s="54">
        <v>279</v>
      </c>
      <c r="O288" s="70">
        <v>91596.187499999971</v>
      </c>
      <c r="P288" s="75">
        <v>11665</v>
      </c>
      <c r="Q288" s="75">
        <v>94614</v>
      </c>
      <c r="R288" s="194">
        <v>370547.53749999998</v>
      </c>
      <c r="S288" s="194">
        <v>6730.7</v>
      </c>
      <c r="T288" s="70">
        <v>1428.9625000000005</v>
      </c>
      <c r="U288" s="80">
        <v>81753.173721494197</v>
      </c>
      <c r="V288" s="73"/>
      <c r="X288" s="30"/>
      <c r="Y288" s="54">
        <v>279</v>
      </c>
      <c r="Z288" s="70">
        <v>44911.150000000009</v>
      </c>
      <c r="AA288" s="75">
        <v>14078</v>
      </c>
      <c r="AB288" s="75">
        <v>3996.9</v>
      </c>
      <c r="AC288" s="75">
        <v>75941.100000000006</v>
      </c>
      <c r="AD288" s="194">
        <v>324128.7</v>
      </c>
      <c r="AE288" s="194">
        <v>6996.9</v>
      </c>
      <c r="AF288" s="76">
        <v>0.05</v>
      </c>
      <c r="AG288" s="70">
        <v>4927.3000000000011</v>
      </c>
      <c r="AH288" s="31"/>
    </row>
    <row r="289" spans="3:34" x14ac:dyDescent="0.25">
      <c r="C289" s="72"/>
      <c r="D289" s="54">
        <v>280</v>
      </c>
      <c r="E289" s="70">
        <v>44493.59</v>
      </c>
      <c r="F289" s="75">
        <v>5741</v>
      </c>
      <c r="G289" s="75">
        <v>88275</v>
      </c>
      <c r="H289" s="194">
        <v>329056</v>
      </c>
      <c r="I289" s="194">
        <v>12341.76</v>
      </c>
      <c r="J289" s="75">
        <v>81753.173721494197</v>
      </c>
      <c r="K289" s="73"/>
      <c r="M289" s="72"/>
      <c r="N289" s="54">
        <v>280</v>
      </c>
      <c r="O289" s="70">
        <v>63163.12000000001</v>
      </c>
      <c r="P289" s="75">
        <v>14828</v>
      </c>
      <c r="Q289" s="75">
        <v>83276</v>
      </c>
      <c r="R289" s="194">
        <v>341547.57</v>
      </c>
      <c r="S289" s="194">
        <v>6163.8</v>
      </c>
      <c r="T289" s="70">
        <v>1816.4300000000007</v>
      </c>
      <c r="U289" s="80">
        <v>81753.173721494197</v>
      </c>
      <c r="V289" s="73"/>
      <c r="X289" s="30"/>
      <c r="Y289" s="54">
        <v>280</v>
      </c>
      <c r="Z289" s="70">
        <v>87574.60000000002</v>
      </c>
      <c r="AA289" s="75">
        <v>12891</v>
      </c>
      <c r="AB289" s="75">
        <v>6537.1600000000008</v>
      </c>
      <c r="AC289" s="75">
        <v>86850.84</v>
      </c>
      <c r="AD289" s="194">
        <v>367464.65</v>
      </c>
      <c r="AE289" s="194">
        <v>7669.4000000000005</v>
      </c>
      <c r="AF289" s="76">
        <v>7.0000000000000007E-2</v>
      </c>
      <c r="AG289" s="70">
        <v>4511.8500000000013</v>
      </c>
      <c r="AH289" s="31"/>
    </row>
    <row r="290" spans="3:34" x14ac:dyDescent="0.25">
      <c r="C290" s="72"/>
      <c r="D290" s="54">
        <v>281</v>
      </c>
      <c r="E290" s="70">
        <v>58351.91</v>
      </c>
      <c r="F290" s="75">
        <v>4847</v>
      </c>
      <c r="G290" s="75">
        <v>93257</v>
      </c>
      <c r="H290" s="194">
        <v>343364</v>
      </c>
      <c r="I290" s="194">
        <v>12791.44</v>
      </c>
      <c r="J290" s="75">
        <v>81753.173721494197</v>
      </c>
      <c r="K290" s="73"/>
      <c r="M290" s="72"/>
      <c r="N290" s="54">
        <v>281</v>
      </c>
      <c r="O290" s="70">
        <v>49246.062500000015</v>
      </c>
      <c r="P290" s="75">
        <v>12255</v>
      </c>
      <c r="Q290" s="75">
        <v>81761</v>
      </c>
      <c r="R290" s="194">
        <v>327554.76250000001</v>
      </c>
      <c r="S290" s="194">
        <v>6088.05</v>
      </c>
      <c r="T290" s="70">
        <v>1501.2375000000006</v>
      </c>
      <c r="U290" s="80">
        <v>81753.173721494197</v>
      </c>
      <c r="V290" s="73"/>
      <c r="X290" s="30"/>
      <c r="Y290" s="54">
        <v>281</v>
      </c>
      <c r="Z290" s="70">
        <v>32102.349999999988</v>
      </c>
      <c r="AA290" s="75">
        <v>9762</v>
      </c>
      <c r="AB290" s="75">
        <v>6413.28</v>
      </c>
      <c r="AC290" s="75">
        <v>73752.72</v>
      </c>
      <c r="AD290" s="194">
        <v>311331.3</v>
      </c>
      <c r="AE290" s="194">
        <v>7008.3</v>
      </c>
      <c r="AF290" s="76">
        <v>0.08</v>
      </c>
      <c r="AG290" s="70">
        <v>3416.7000000000007</v>
      </c>
      <c r="AH290" s="31"/>
    </row>
    <row r="291" spans="3:34" x14ac:dyDescent="0.25">
      <c r="C291" s="72"/>
      <c r="D291" s="54">
        <v>282</v>
      </c>
      <c r="E291" s="70">
        <v>30635.27</v>
      </c>
      <c r="F291" s="75">
        <v>4431</v>
      </c>
      <c r="G291" s="75">
        <v>85497</v>
      </c>
      <c r="H291" s="194">
        <v>314748</v>
      </c>
      <c r="I291" s="194">
        <v>11892.08</v>
      </c>
      <c r="J291" s="75">
        <v>81753.173721494197</v>
      </c>
      <c r="K291" s="73"/>
      <c r="M291" s="72"/>
      <c r="N291" s="54">
        <v>282</v>
      </c>
      <c r="O291" s="70">
        <v>49174.214999999989</v>
      </c>
      <c r="P291" s="75">
        <v>13246</v>
      </c>
      <c r="Q291" s="75">
        <v>80770</v>
      </c>
      <c r="R291" s="194">
        <v>327433.36499999999</v>
      </c>
      <c r="S291" s="194">
        <v>6038.5</v>
      </c>
      <c r="T291" s="70">
        <v>1622.6350000000007</v>
      </c>
      <c r="U291" s="80">
        <v>81753.173721494197</v>
      </c>
      <c r="V291" s="73"/>
      <c r="X291" s="30"/>
      <c r="Y291" s="54">
        <v>282</v>
      </c>
      <c r="Z291" s="70">
        <v>31796.349999999988</v>
      </c>
      <c r="AA291" s="75">
        <v>10782</v>
      </c>
      <c r="AB291" s="75">
        <v>3957.3</v>
      </c>
      <c r="AC291" s="75">
        <v>75188.7</v>
      </c>
      <c r="AD291" s="194">
        <v>310974.3</v>
      </c>
      <c r="AE291" s="194">
        <v>6957.3</v>
      </c>
      <c r="AF291" s="76">
        <v>0.05</v>
      </c>
      <c r="AG291" s="70">
        <v>3773.7000000000012</v>
      </c>
      <c r="AH291" s="31"/>
    </row>
    <row r="292" spans="3:34" x14ac:dyDescent="0.25">
      <c r="C292" s="72"/>
      <c r="D292" s="54">
        <v>283</v>
      </c>
      <c r="E292" s="70">
        <v>30635.27</v>
      </c>
      <c r="F292" s="75">
        <v>5424</v>
      </c>
      <c r="G292" s="75">
        <v>84504</v>
      </c>
      <c r="H292" s="194">
        <v>314748</v>
      </c>
      <c r="I292" s="194">
        <v>11892.08</v>
      </c>
      <c r="J292" s="75">
        <v>81753.173721494197</v>
      </c>
      <c r="K292" s="73"/>
      <c r="M292" s="72"/>
      <c r="N292" s="54">
        <v>283</v>
      </c>
      <c r="O292" s="70">
        <v>35316.752500000002</v>
      </c>
      <c r="P292" s="75">
        <v>9851</v>
      </c>
      <c r="Q292" s="75">
        <v>80077</v>
      </c>
      <c r="R292" s="194">
        <v>313541.2525</v>
      </c>
      <c r="S292" s="194">
        <v>6003.85</v>
      </c>
      <c r="T292" s="70">
        <v>1206.7475000000006</v>
      </c>
      <c r="U292" s="80">
        <v>81753.173721494197</v>
      </c>
      <c r="V292" s="73"/>
      <c r="X292" s="30"/>
      <c r="Y292" s="54">
        <v>283</v>
      </c>
      <c r="Z292" s="70">
        <v>31850.349999999988</v>
      </c>
      <c r="AA292" s="75">
        <v>10602</v>
      </c>
      <c r="AB292" s="75">
        <v>3966.3</v>
      </c>
      <c r="AC292" s="75">
        <v>75359.7</v>
      </c>
      <c r="AD292" s="194">
        <v>311037.3</v>
      </c>
      <c r="AE292" s="194">
        <v>6966.3</v>
      </c>
      <c r="AF292" s="76">
        <v>0.05</v>
      </c>
      <c r="AG292" s="70">
        <v>3710.7000000000007</v>
      </c>
      <c r="AH292" s="31"/>
    </row>
    <row r="293" spans="3:34" x14ac:dyDescent="0.25">
      <c r="C293" s="72"/>
      <c r="D293" s="54">
        <v>284</v>
      </c>
      <c r="E293" s="70">
        <v>86065.16</v>
      </c>
      <c r="F293" s="75">
        <v>8522</v>
      </c>
      <c r="G293" s="75">
        <v>97757</v>
      </c>
      <c r="H293" s="194">
        <v>371976.5</v>
      </c>
      <c r="I293" s="194">
        <v>13690.69</v>
      </c>
      <c r="J293" s="75">
        <v>81753.173721494197</v>
      </c>
      <c r="K293" s="73"/>
      <c r="M293" s="72"/>
      <c r="N293" s="54">
        <v>284</v>
      </c>
      <c r="O293" s="70">
        <v>91539.274999999994</v>
      </c>
      <c r="P293" s="75">
        <v>12450</v>
      </c>
      <c r="Q293" s="75">
        <v>93829</v>
      </c>
      <c r="R293" s="194">
        <v>370451.375</v>
      </c>
      <c r="S293" s="194">
        <v>6691.45</v>
      </c>
      <c r="T293" s="70">
        <v>1525.1250000000007</v>
      </c>
      <c r="U293" s="80">
        <v>81753.173721494197</v>
      </c>
      <c r="V293" s="73"/>
      <c r="X293" s="30"/>
      <c r="Y293" s="54">
        <v>284</v>
      </c>
      <c r="Z293" s="70">
        <v>59393.049999999988</v>
      </c>
      <c r="AA293" s="75">
        <v>12817</v>
      </c>
      <c r="AB293" s="75">
        <v>5117.22</v>
      </c>
      <c r="AC293" s="75">
        <v>80169.78</v>
      </c>
      <c r="AD293" s="194">
        <v>338878.05</v>
      </c>
      <c r="AE293" s="194">
        <v>7264.35</v>
      </c>
      <c r="AF293" s="76">
        <v>0.06</v>
      </c>
      <c r="AG293" s="70">
        <v>4485.9500000000007</v>
      </c>
      <c r="AH293" s="31"/>
    </row>
    <row r="294" spans="3:34" x14ac:dyDescent="0.25">
      <c r="C294" s="72"/>
      <c r="D294" s="54">
        <v>285</v>
      </c>
      <c r="E294" s="70">
        <v>58351.91</v>
      </c>
      <c r="F294" s="75">
        <v>9734</v>
      </c>
      <c r="G294" s="75">
        <v>88370</v>
      </c>
      <c r="H294" s="194">
        <v>343364</v>
      </c>
      <c r="I294" s="194">
        <v>12791.44</v>
      </c>
      <c r="J294" s="75">
        <v>81753.173721494197</v>
      </c>
      <c r="K294" s="73"/>
      <c r="M294" s="72"/>
      <c r="N294" s="54">
        <v>285</v>
      </c>
      <c r="O294" s="70">
        <v>63191.032499999987</v>
      </c>
      <c r="P294" s="75">
        <v>14443</v>
      </c>
      <c r="Q294" s="75">
        <v>83661</v>
      </c>
      <c r="R294" s="194">
        <v>341594.73249999998</v>
      </c>
      <c r="S294" s="194">
        <v>6183.05</v>
      </c>
      <c r="T294" s="70">
        <v>1769.2675000000008</v>
      </c>
      <c r="U294" s="80">
        <v>81753.173721494197</v>
      </c>
      <c r="V294" s="73"/>
      <c r="X294" s="30"/>
      <c r="Y294" s="54">
        <v>285</v>
      </c>
      <c r="Z294" s="70">
        <v>31292.650000000023</v>
      </c>
      <c r="AA294" s="75">
        <v>12461</v>
      </c>
      <c r="AB294" s="75">
        <v>6972.03</v>
      </c>
      <c r="AC294" s="75">
        <v>70494.97</v>
      </c>
      <c r="AD294" s="194">
        <v>310386.65000000002</v>
      </c>
      <c r="AE294" s="194">
        <v>6873.35</v>
      </c>
      <c r="AF294" s="76">
        <v>0.09</v>
      </c>
      <c r="AG294" s="70">
        <v>4361.3500000000013</v>
      </c>
      <c r="AH294" s="31"/>
    </row>
    <row r="295" spans="3:34" x14ac:dyDescent="0.25">
      <c r="C295" s="72"/>
      <c r="D295" s="54">
        <v>286</v>
      </c>
      <c r="E295" s="70">
        <v>44493.59</v>
      </c>
      <c r="F295" s="75">
        <v>4615</v>
      </c>
      <c r="G295" s="75">
        <v>89401</v>
      </c>
      <c r="H295" s="194">
        <v>329056</v>
      </c>
      <c r="I295" s="194">
        <v>12341.76</v>
      </c>
      <c r="J295" s="75">
        <v>81753.173721494197</v>
      </c>
      <c r="K295" s="73"/>
      <c r="M295" s="72"/>
      <c r="N295" s="54">
        <v>286</v>
      </c>
      <c r="O295" s="70">
        <v>49323.927500000013</v>
      </c>
      <c r="P295" s="75">
        <v>11181</v>
      </c>
      <c r="Q295" s="75">
        <v>82835</v>
      </c>
      <c r="R295" s="194">
        <v>327686.32750000001</v>
      </c>
      <c r="S295" s="194">
        <v>6141.75</v>
      </c>
      <c r="T295" s="70">
        <v>1369.6725000000006</v>
      </c>
      <c r="U295" s="80">
        <v>81753.173721494197</v>
      </c>
      <c r="V295" s="73"/>
      <c r="X295" s="30"/>
      <c r="Y295" s="54">
        <v>286</v>
      </c>
      <c r="Z295" s="70">
        <v>59417.65</v>
      </c>
      <c r="AA295" s="75">
        <v>12735</v>
      </c>
      <c r="AB295" s="75">
        <v>8536.9</v>
      </c>
      <c r="AC295" s="75">
        <v>76832.100000000006</v>
      </c>
      <c r="AD295" s="194">
        <v>338906.75</v>
      </c>
      <c r="AE295" s="194">
        <v>7268.45</v>
      </c>
      <c r="AF295" s="76">
        <v>0.1</v>
      </c>
      <c r="AG295" s="70">
        <v>4457.2500000000009</v>
      </c>
      <c r="AH295" s="31"/>
    </row>
    <row r="296" spans="3:34" x14ac:dyDescent="0.25">
      <c r="C296" s="72"/>
      <c r="D296" s="54">
        <v>287</v>
      </c>
      <c r="E296" s="70">
        <v>58351.91</v>
      </c>
      <c r="F296" s="75">
        <v>6938</v>
      </c>
      <c r="G296" s="75">
        <v>91166</v>
      </c>
      <c r="H296" s="194">
        <v>343364</v>
      </c>
      <c r="I296" s="194">
        <v>12791.44</v>
      </c>
      <c r="J296" s="75">
        <v>81753.173721494197</v>
      </c>
      <c r="K296" s="73"/>
      <c r="M296" s="72"/>
      <c r="N296" s="54">
        <v>287</v>
      </c>
      <c r="O296" s="70">
        <v>35123.902499999967</v>
      </c>
      <c r="P296" s="75">
        <v>12511</v>
      </c>
      <c r="Q296" s="75">
        <v>77417</v>
      </c>
      <c r="R296" s="194">
        <v>313215.40249999997</v>
      </c>
      <c r="S296" s="194">
        <v>5870.85</v>
      </c>
      <c r="T296" s="70">
        <v>1532.5975000000008</v>
      </c>
      <c r="U296" s="80">
        <v>81753.173721494197</v>
      </c>
      <c r="V296" s="73"/>
      <c r="X296" s="30"/>
      <c r="Y296" s="54">
        <v>287</v>
      </c>
      <c r="Z296" s="70">
        <v>44903.94999999999</v>
      </c>
      <c r="AA296" s="75">
        <v>14102</v>
      </c>
      <c r="AB296" s="75">
        <v>7192.2599999999993</v>
      </c>
      <c r="AC296" s="75">
        <v>72721.740000000005</v>
      </c>
      <c r="AD296" s="194">
        <v>324120.3</v>
      </c>
      <c r="AE296" s="194">
        <v>6995.7000000000007</v>
      </c>
      <c r="AF296" s="76">
        <v>0.09</v>
      </c>
      <c r="AG296" s="70">
        <v>4935.7000000000016</v>
      </c>
      <c r="AH296" s="31"/>
    </row>
    <row r="297" spans="3:34" x14ac:dyDescent="0.25">
      <c r="C297" s="72"/>
      <c r="D297" s="54">
        <v>288</v>
      </c>
      <c r="E297" s="70">
        <v>58351.91</v>
      </c>
      <c r="F297" s="75">
        <v>5869</v>
      </c>
      <c r="G297" s="75">
        <v>92235</v>
      </c>
      <c r="H297" s="194">
        <v>343364</v>
      </c>
      <c r="I297" s="194">
        <v>12791.44</v>
      </c>
      <c r="J297" s="75">
        <v>81753.173721494197</v>
      </c>
      <c r="K297" s="73"/>
      <c r="M297" s="72"/>
      <c r="N297" s="54">
        <v>288</v>
      </c>
      <c r="O297" s="70">
        <v>63323.489999999976</v>
      </c>
      <c r="P297" s="75">
        <v>12616</v>
      </c>
      <c r="Q297" s="75">
        <v>85488</v>
      </c>
      <c r="R297" s="194">
        <v>341818.54</v>
      </c>
      <c r="S297" s="194">
        <v>6274.4000000000005</v>
      </c>
      <c r="T297" s="70">
        <v>1545.4600000000007</v>
      </c>
      <c r="U297" s="80">
        <v>81753.173721494197</v>
      </c>
      <c r="V297" s="73"/>
      <c r="X297" s="30"/>
      <c r="Y297" s="54">
        <v>288</v>
      </c>
      <c r="Z297" s="70">
        <v>59439.85000000002</v>
      </c>
      <c r="AA297" s="75">
        <v>12661</v>
      </c>
      <c r="AB297" s="75">
        <v>5981.01</v>
      </c>
      <c r="AC297" s="75">
        <v>79461.990000000005</v>
      </c>
      <c r="AD297" s="194">
        <v>338932.65</v>
      </c>
      <c r="AE297" s="194">
        <v>7272.1500000000005</v>
      </c>
      <c r="AF297" s="76">
        <v>7.0000000000000007E-2</v>
      </c>
      <c r="AG297" s="70">
        <v>4431.3500000000013</v>
      </c>
      <c r="AH297" s="31"/>
    </row>
    <row r="298" spans="3:34" x14ac:dyDescent="0.25">
      <c r="C298" s="72"/>
      <c r="D298" s="54">
        <v>289</v>
      </c>
      <c r="E298" s="70">
        <v>44493.59</v>
      </c>
      <c r="F298" s="75">
        <v>7288</v>
      </c>
      <c r="G298" s="75">
        <v>86728</v>
      </c>
      <c r="H298" s="194">
        <v>329056</v>
      </c>
      <c r="I298" s="194">
        <v>12341.76</v>
      </c>
      <c r="J298" s="75">
        <v>81753.173721494197</v>
      </c>
      <c r="K298" s="73"/>
      <c r="M298" s="72"/>
      <c r="N298" s="54">
        <v>289</v>
      </c>
      <c r="O298" s="70">
        <v>35311.677499999991</v>
      </c>
      <c r="P298" s="75">
        <v>9921</v>
      </c>
      <c r="Q298" s="75">
        <v>80007</v>
      </c>
      <c r="R298" s="194">
        <v>313532.67749999999</v>
      </c>
      <c r="S298" s="194">
        <v>6000.35</v>
      </c>
      <c r="T298" s="70">
        <v>1215.3225000000004</v>
      </c>
      <c r="U298" s="80">
        <v>81753.173721494197</v>
      </c>
      <c r="V298" s="73"/>
      <c r="X298" s="30"/>
      <c r="Y298" s="54">
        <v>289</v>
      </c>
      <c r="Z298" s="70">
        <v>58815.549999999988</v>
      </c>
      <c r="AA298" s="75">
        <v>14742</v>
      </c>
      <c r="AB298" s="75">
        <v>6668.96</v>
      </c>
      <c r="AC298" s="75">
        <v>76693.039999999994</v>
      </c>
      <c r="AD298" s="194">
        <v>338204.3</v>
      </c>
      <c r="AE298" s="194">
        <v>7168.1</v>
      </c>
      <c r="AF298" s="76">
        <v>0.08</v>
      </c>
      <c r="AG298" s="70">
        <v>5159.7000000000016</v>
      </c>
      <c r="AH298" s="31"/>
    </row>
    <row r="299" spans="3:34" x14ac:dyDescent="0.25">
      <c r="C299" s="72"/>
      <c r="D299" s="54">
        <v>290</v>
      </c>
      <c r="E299" s="70">
        <v>58351.91</v>
      </c>
      <c r="F299" s="75">
        <v>8716</v>
      </c>
      <c r="G299" s="75">
        <v>89388</v>
      </c>
      <c r="H299" s="194">
        <v>343364</v>
      </c>
      <c r="I299" s="194">
        <v>12791.44</v>
      </c>
      <c r="J299" s="75">
        <v>81753.173721494197</v>
      </c>
      <c r="K299" s="73"/>
      <c r="M299" s="72"/>
      <c r="N299" s="54">
        <v>290</v>
      </c>
      <c r="O299" s="70">
        <v>63310.51249999999</v>
      </c>
      <c r="P299" s="75">
        <v>12795</v>
      </c>
      <c r="Q299" s="75">
        <v>85309</v>
      </c>
      <c r="R299" s="194">
        <v>341796.61249999999</v>
      </c>
      <c r="S299" s="194">
        <v>6265.45</v>
      </c>
      <c r="T299" s="70">
        <v>1567.3875000000007</v>
      </c>
      <c r="U299" s="80">
        <v>81753.173721494197</v>
      </c>
      <c r="V299" s="73"/>
      <c r="X299" s="30"/>
      <c r="Y299" s="54">
        <v>290</v>
      </c>
      <c r="Z299" s="70">
        <v>44888.05</v>
      </c>
      <c r="AA299" s="75">
        <v>14155</v>
      </c>
      <c r="AB299" s="75">
        <v>5590.27</v>
      </c>
      <c r="AC299" s="75">
        <v>74270.73</v>
      </c>
      <c r="AD299" s="194">
        <v>324101.75</v>
      </c>
      <c r="AE299" s="194">
        <v>6993.05</v>
      </c>
      <c r="AF299" s="76">
        <v>7.0000000000000007E-2</v>
      </c>
      <c r="AG299" s="70">
        <v>4954.2500000000009</v>
      </c>
      <c r="AH299" s="31"/>
    </row>
    <row r="300" spans="3:34" x14ac:dyDescent="0.25">
      <c r="C300" s="72"/>
      <c r="D300" s="54">
        <v>291</v>
      </c>
      <c r="E300" s="70">
        <v>44493.59</v>
      </c>
      <c r="F300" s="75">
        <v>7513</v>
      </c>
      <c r="G300" s="75">
        <v>86503</v>
      </c>
      <c r="H300" s="194">
        <v>329056</v>
      </c>
      <c r="I300" s="194">
        <v>12341.76</v>
      </c>
      <c r="J300" s="75">
        <v>81753.173721494197</v>
      </c>
      <c r="K300" s="73"/>
      <c r="M300" s="72"/>
      <c r="N300" s="54">
        <v>291</v>
      </c>
      <c r="O300" s="70">
        <v>35247.949999999997</v>
      </c>
      <c r="P300" s="75">
        <v>10800</v>
      </c>
      <c r="Q300" s="75">
        <v>79128</v>
      </c>
      <c r="R300" s="194">
        <v>313425</v>
      </c>
      <c r="S300" s="194">
        <v>5956.4</v>
      </c>
      <c r="T300" s="70">
        <v>1323.0000000000007</v>
      </c>
      <c r="U300" s="80">
        <v>81753.173721494197</v>
      </c>
      <c r="V300" s="73"/>
      <c r="X300" s="30"/>
      <c r="Y300" s="54">
        <v>291</v>
      </c>
      <c r="Z300" s="70">
        <v>31028.05000000001</v>
      </c>
      <c r="AA300" s="75">
        <v>13343</v>
      </c>
      <c r="AB300" s="75">
        <v>3829.25</v>
      </c>
      <c r="AC300" s="75">
        <v>72755.75</v>
      </c>
      <c r="AD300" s="194">
        <v>310077.95</v>
      </c>
      <c r="AE300" s="194">
        <v>6829.25</v>
      </c>
      <c r="AF300" s="76">
        <v>0.05</v>
      </c>
      <c r="AG300" s="70">
        <v>4670.0500000000011</v>
      </c>
      <c r="AH300" s="31"/>
    </row>
    <row r="301" spans="3:34" x14ac:dyDescent="0.25">
      <c r="C301" s="72"/>
      <c r="D301" s="54">
        <v>292</v>
      </c>
      <c r="E301" s="70">
        <v>30635.27</v>
      </c>
      <c r="F301" s="75">
        <v>8860</v>
      </c>
      <c r="G301" s="75">
        <v>81068</v>
      </c>
      <c r="H301" s="194">
        <v>314748</v>
      </c>
      <c r="I301" s="194">
        <v>11892.08</v>
      </c>
      <c r="J301" s="75">
        <v>81753.173721494197</v>
      </c>
      <c r="K301" s="73"/>
      <c r="M301" s="72"/>
      <c r="N301" s="54">
        <v>292</v>
      </c>
      <c r="O301" s="70">
        <v>35051.620000000017</v>
      </c>
      <c r="P301" s="75">
        <v>13508</v>
      </c>
      <c r="Q301" s="75">
        <v>76420</v>
      </c>
      <c r="R301" s="194">
        <v>313093.27</v>
      </c>
      <c r="S301" s="194">
        <v>5821</v>
      </c>
      <c r="T301" s="70">
        <v>1654.7300000000007</v>
      </c>
      <c r="U301" s="80">
        <v>81753.173721494197</v>
      </c>
      <c r="V301" s="73"/>
      <c r="X301" s="30"/>
      <c r="Y301" s="54">
        <v>292</v>
      </c>
      <c r="Z301" s="70">
        <v>31293.55000000001</v>
      </c>
      <c r="AA301" s="75">
        <v>12458</v>
      </c>
      <c r="AB301" s="75">
        <v>6197.6</v>
      </c>
      <c r="AC301" s="75">
        <v>71272.399999999994</v>
      </c>
      <c r="AD301" s="194">
        <v>310387.7</v>
      </c>
      <c r="AE301" s="194">
        <v>6873.5</v>
      </c>
      <c r="AF301" s="76">
        <v>0.08</v>
      </c>
      <c r="AG301" s="70">
        <v>4360.3000000000011</v>
      </c>
      <c r="AH301" s="31"/>
    </row>
    <row r="302" spans="3:34" x14ac:dyDescent="0.25">
      <c r="C302" s="72"/>
      <c r="D302" s="54">
        <v>293</v>
      </c>
      <c r="E302" s="70">
        <v>44493.59</v>
      </c>
      <c r="F302" s="75">
        <v>9210</v>
      </c>
      <c r="G302" s="75">
        <v>84806</v>
      </c>
      <c r="H302" s="194">
        <v>329056</v>
      </c>
      <c r="I302" s="194">
        <v>12341.76</v>
      </c>
      <c r="J302" s="75">
        <v>81753.173721494197</v>
      </c>
      <c r="K302" s="73"/>
      <c r="M302" s="72"/>
      <c r="N302" s="54">
        <v>293</v>
      </c>
      <c r="O302" s="70">
        <v>49379.027499999989</v>
      </c>
      <c r="P302" s="75">
        <v>10421</v>
      </c>
      <c r="Q302" s="75">
        <v>83595</v>
      </c>
      <c r="R302" s="194">
        <v>327779.42749999999</v>
      </c>
      <c r="S302" s="194">
        <v>6179.75</v>
      </c>
      <c r="T302" s="70">
        <v>1276.5725000000004</v>
      </c>
      <c r="U302" s="80">
        <v>81753.173721494197</v>
      </c>
      <c r="V302" s="73"/>
      <c r="X302" s="30"/>
      <c r="Y302" s="54">
        <v>293</v>
      </c>
      <c r="Z302" s="70">
        <v>88312.299999999988</v>
      </c>
      <c r="AA302" s="75">
        <v>10432</v>
      </c>
      <c r="AB302" s="75">
        <v>4792.3500000000004</v>
      </c>
      <c r="AC302" s="75">
        <v>91054.65</v>
      </c>
      <c r="AD302" s="194">
        <v>368325.3</v>
      </c>
      <c r="AE302" s="194">
        <v>7792.35</v>
      </c>
      <c r="AF302" s="76">
        <v>0.05</v>
      </c>
      <c r="AG302" s="70">
        <v>3651.2000000000007</v>
      </c>
      <c r="AH302" s="31"/>
    </row>
    <row r="303" spans="3:34" x14ac:dyDescent="0.25">
      <c r="C303" s="72"/>
      <c r="D303" s="54">
        <v>294</v>
      </c>
      <c r="E303" s="70">
        <v>30635.27</v>
      </c>
      <c r="F303" s="75">
        <v>6355</v>
      </c>
      <c r="G303" s="75">
        <v>83573</v>
      </c>
      <c r="H303" s="194">
        <v>314748</v>
      </c>
      <c r="I303" s="194">
        <v>11892.08</v>
      </c>
      <c r="J303" s="75">
        <v>81753.173721494197</v>
      </c>
      <c r="K303" s="73"/>
      <c r="M303" s="72"/>
      <c r="N303" s="54">
        <v>294</v>
      </c>
      <c r="O303" s="70">
        <v>49377.722499999974</v>
      </c>
      <c r="P303" s="75">
        <v>10439</v>
      </c>
      <c r="Q303" s="75">
        <v>83577</v>
      </c>
      <c r="R303" s="194">
        <v>327777.22249999997</v>
      </c>
      <c r="S303" s="194">
        <v>6178.85</v>
      </c>
      <c r="T303" s="70">
        <v>1278.7775000000006</v>
      </c>
      <c r="U303" s="80">
        <v>81753.173721494197</v>
      </c>
      <c r="V303" s="73"/>
      <c r="X303" s="30"/>
      <c r="Y303" s="54">
        <v>294</v>
      </c>
      <c r="Z303" s="70">
        <v>31781.650000000023</v>
      </c>
      <c r="AA303" s="75">
        <v>10831</v>
      </c>
      <c r="AB303" s="75">
        <v>7118.73</v>
      </c>
      <c r="AC303" s="75">
        <v>71978.27</v>
      </c>
      <c r="AD303" s="194">
        <v>310957.15000000002</v>
      </c>
      <c r="AE303" s="194">
        <v>6954.85</v>
      </c>
      <c r="AF303" s="76">
        <v>0.09</v>
      </c>
      <c r="AG303" s="70">
        <v>3790.8500000000008</v>
      </c>
      <c r="AH303" s="31"/>
    </row>
    <row r="304" spans="3:34" x14ac:dyDescent="0.25">
      <c r="C304" s="72"/>
      <c r="D304" s="54">
        <v>295</v>
      </c>
      <c r="E304" s="70">
        <v>44493.59</v>
      </c>
      <c r="F304" s="75">
        <v>5687</v>
      </c>
      <c r="G304" s="75">
        <v>88329</v>
      </c>
      <c r="H304" s="194">
        <v>329056</v>
      </c>
      <c r="I304" s="194">
        <v>12341.76</v>
      </c>
      <c r="J304" s="75">
        <v>81753.173721494197</v>
      </c>
      <c r="K304" s="73"/>
      <c r="M304" s="72"/>
      <c r="N304" s="54">
        <v>295</v>
      </c>
      <c r="O304" s="70">
        <v>63461.530000000028</v>
      </c>
      <c r="P304" s="75">
        <v>10712</v>
      </c>
      <c r="Q304" s="75">
        <v>87392</v>
      </c>
      <c r="R304" s="194">
        <v>342051.78</v>
      </c>
      <c r="S304" s="194">
        <v>6369.6</v>
      </c>
      <c r="T304" s="70">
        <v>1312.2200000000005</v>
      </c>
      <c r="U304" s="80">
        <v>81753.173721494197</v>
      </c>
      <c r="V304" s="73"/>
      <c r="X304" s="30"/>
      <c r="Y304" s="54">
        <v>295</v>
      </c>
      <c r="Z304" s="70">
        <v>59681.949999999975</v>
      </c>
      <c r="AA304" s="75">
        <v>11854</v>
      </c>
      <c r="AB304" s="75">
        <v>4312.5</v>
      </c>
      <c r="AC304" s="75">
        <v>81937.5</v>
      </c>
      <c r="AD304" s="194">
        <v>339215.1</v>
      </c>
      <c r="AE304" s="194">
        <v>7312.5</v>
      </c>
      <c r="AF304" s="76">
        <v>0.05</v>
      </c>
      <c r="AG304" s="70">
        <v>4148.9000000000015</v>
      </c>
      <c r="AH304" s="31"/>
    </row>
    <row r="305" spans="3:34" x14ac:dyDescent="0.25">
      <c r="C305" s="72"/>
      <c r="D305" s="54">
        <v>296</v>
      </c>
      <c r="E305" s="70">
        <v>44493.59</v>
      </c>
      <c r="F305" s="75">
        <v>6546</v>
      </c>
      <c r="G305" s="75">
        <v>87470</v>
      </c>
      <c r="H305" s="194">
        <v>329056</v>
      </c>
      <c r="I305" s="194">
        <v>12341.76</v>
      </c>
      <c r="J305" s="75">
        <v>81753.173721494197</v>
      </c>
      <c r="K305" s="73"/>
      <c r="M305" s="72"/>
      <c r="N305" s="54">
        <v>296</v>
      </c>
      <c r="O305" s="70">
        <v>49457.980000000018</v>
      </c>
      <c r="P305" s="75">
        <v>9332</v>
      </c>
      <c r="Q305" s="75">
        <v>84684</v>
      </c>
      <c r="R305" s="194">
        <v>327912.83</v>
      </c>
      <c r="S305" s="194">
        <v>6234.2</v>
      </c>
      <c r="T305" s="70">
        <v>1143.1700000000005</v>
      </c>
      <c r="U305" s="80">
        <v>81753.173721494197</v>
      </c>
      <c r="V305" s="73"/>
      <c r="X305" s="30"/>
      <c r="Y305" s="54">
        <v>296</v>
      </c>
      <c r="Z305" s="70">
        <v>32319.55000000001</v>
      </c>
      <c r="AA305" s="75">
        <v>9038</v>
      </c>
      <c r="AB305" s="75">
        <v>6471.2</v>
      </c>
      <c r="AC305" s="75">
        <v>74418.8</v>
      </c>
      <c r="AD305" s="194">
        <v>311584.7</v>
      </c>
      <c r="AE305" s="194">
        <v>7044.5</v>
      </c>
      <c r="AF305" s="76">
        <v>0.08</v>
      </c>
      <c r="AG305" s="70">
        <v>3163.3000000000006</v>
      </c>
      <c r="AH305" s="31"/>
    </row>
    <row r="306" spans="3:34" x14ac:dyDescent="0.25">
      <c r="C306" s="72"/>
      <c r="D306" s="54">
        <v>297</v>
      </c>
      <c r="E306" s="70">
        <v>58351.91</v>
      </c>
      <c r="F306" s="75">
        <v>4922</v>
      </c>
      <c r="G306" s="75">
        <v>93182</v>
      </c>
      <c r="H306" s="194">
        <v>343364</v>
      </c>
      <c r="I306" s="194">
        <v>12791.44</v>
      </c>
      <c r="J306" s="75">
        <v>81753.173721494197</v>
      </c>
      <c r="K306" s="73"/>
      <c r="M306" s="72"/>
      <c r="N306" s="54">
        <v>297</v>
      </c>
      <c r="O306" s="70">
        <v>63521.560000000019</v>
      </c>
      <c r="P306" s="75">
        <v>9884</v>
      </c>
      <c r="Q306" s="75">
        <v>88220</v>
      </c>
      <c r="R306" s="194">
        <v>342153.21</v>
      </c>
      <c r="S306" s="194">
        <v>6411</v>
      </c>
      <c r="T306" s="70">
        <v>1210.7900000000004</v>
      </c>
      <c r="U306" s="80">
        <v>81753.173721494197</v>
      </c>
      <c r="V306" s="73"/>
      <c r="X306" s="30"/>
      <c r="Y306" s="54">
        <v>297</v>
      </c>
      <c r="Z306" s="70">
        <v>46304.05</v>
      </c>
      <c r="AA306" s="75">
        <v>9435</v>
      </c>
      <c r="AB306" s="75">
        <v>4229.05</v>
      </c>
      <c r="AC306" s="75">
        <v>80351.95</v>
      </c>
      <c r="AD306" s="194">
        <v>325753.75</v>
      </c>
      <c r="AE306" s="194">
        <v>7229.05</v>
      </c>
      <c r="AF306" s="76">
        <v>0.05</v>
      </c>
      <c r="AG306" s="70">
        <v>3302.2500000000009</v>
      </c>
      <c r="AH306" s="31"/>
    </row>
    <row r="307" spans="3:34" x14ac:dyDescent="0.25">
      <c r="C307" s="72"/>
      <c r="D307" s="54">
        <v>298</v>
      </c>
      <c r="E307" s="70">
        <v>58351.91</v>
      </c>
      <c r="F307" s="75">
        <v>6851</v>
      </c>
      <c r="G307" s="75">
        <v>91253</v>
      </c>
      <c r="H307" s="194">
        <v>343364</v>
      </c>
      <c r="I307" s="194">
        <v>12791.44</v>
      </c>
      <c r="J307" s="75">
        <v>81753.173721494197</v>
      </c>
      <c r="K307" s="73"/>
      <c r="M307" s="72"/>
      <c r="N307" s="54">
        <v>298</v>
      </c>
      <c r="O307" s="70">
        <v>91432.699999999983</v>
      </c>
      <c r="P307" s="75">
        <v>13920</v>
      </c>
      <c r="Q307" s="75">
        <v>92359</v>
      </c>
      <c r="R307" s="194">
        <v>370271.3</v>
      </c>
      <c r="S307" s="194">
        <v>6617.95</v>
      </c>
      <c r="T307" s="70">
        <v>1705.2000000000007</v>
      </c>
      <c r="U307" s="80">
        <v>81753.173721494197</v>
      </c>
      <c r="V307" s="73"/>
      <c r="X307" s="30"/>
      <c r="Y307" s="54">
        <v>298</v>
      </c>
      <c r="Z307" s="70">
        <v>31798.45</v>
      </c>
      <c r="AA307" s="75">
        <v>10775</v>
      </c>
      <c r="AB307" s="75">
        <v>4749.1799999999994</v>
      </c>
      <c r="AC307" s="75">
        <v>74403.820000000007</v>
      </c>
      <c r="AD307" s="194">
        <v>310976.75</v>
      </c>
      <c r="AE307" s="194">
        <v>6957.65</v>
      </c>
      <c r="AF307" s="76">
        <v>0.06</v>
      </c>
      <c r="AG307" s="70">
        <v>3771.2500000000009</v>
      </c>
      <c r="AH307" s="31"/>
    </row>
    <row r="308" spans="3:34" x14ac:dyDescent="0.25">
      <c r="C308" s="72"/>
      <c r="D308" s="54">
        <v>299</v>
      </c>
      <c r="E308" s="70">
        <v>44493.59</v>
      </c>
      <c r="F308" s="75">
        <v>6606</v>
      </c>
      <c r="G308" s="75">
        <v>87410</v>
      </c>
      <c r="H308" s="194">
        <v>329056</v>
      </c>
      <c r="I308" s="194">
        <v>12341.76</v>
      </c>
      <c r="J308" s="75">
        <v>81753.173721494197</v>
      </c>
      <c r="K308" s="73"/>
      <c r="M308" s="72"/>
      <c r="N308" s="54">
        <v>299</v>
      </c>
      <c r="O308" s="70">
        <v>49380.839999999989</v>
      </c>
      <c r="P308" s="75">
        <v>10396</v>
      </c>
      <c r="Q308" s="75">
        <v>83620</v>
      </c>
      <c r="R308" s="194">
        <v>327782.49</v>
      </c>
      <c r="S308" s="194">
        <v>6181</v>
      </c>
      <c r="T308" s="70">
        <v>1273.5100000000004</v>
      </c>
      <c r="U308" s="80">
        <v>81753.173721494197</v>
      </c>
      <c r="V308" s="73"/>
      <c r="X308" s="30"/>
      <c r="Y308" s="54">
        <v>299</v>
      </c>
      <c r="Z308" s="70">
        <v>45415.44999999999</v>
      </c>
      <c r="AA308" s="75">
        <v>12397</v>
      </c>
      <c r="AB308" s="75">
        <v>8161.9000000000005</v>
      </c>
      <c r="AC308" s="75">
        <v>73457.100000000006</v>
      </c>
      <c r="AD308" s="194">
        <v>324717.05</v>
      </c>
      <c r="AE308" s="194">
        <v>7080.9500000000007</v>
      </c>
      <c r="AF308" s="76">
        <v>0.1</v>
      </c>
      <c r="AG308" s="70">
        <v>4338.9500000000007</v>
      </c>
      <c r="AH308" s="31"/>
    </row>
    <row r="309" spans="3:34" x14ac:dyDescent="0.25">
      <c r="C309" s="72"/>
      <c r="D309" s="54">
        <v>300</v>
      </c>
      <c r="E309" s="70">
        <v>58351.91</v>
      </c>
      <c r="F309" s="75">
        <v>9775</v>
      </c>
      <c r="G309" s="75">
        <v>88329</v>
      </c>
      <c r="H309" s="194">
        <v>343364</v>
      </c>
      <c r="I309" s="194">
        <v>12791.44</v>
      </c>
      <c r="J309" s="75">
        <v>81753.173721494197</v>
      </c>
      <c r="K309" s="73"/>
      <c r="M309" s="72"/>
      <c r="N309" s="54">
        <v>300</v>
      </c>
      <c r="O309" s="70">
        <v>35069.527499999967</v>
      </c>
      <c r="P309" s="75">
        <v>13261</v>
      </c>
      <c r="Q309" s="75">
        <v>76667</v>
      </c>
      <c r="R309" s="194">
        <v>313123.52749999997</v>
      </c>
      <c r="S309" s="194">
        <v>5833.35</v>
      </c>
      <c r="T309" s="70">
        <v>1624.4725000000008</v>
      </c>
      <c r="U309" s="80">
        <v>81753.173721494197</v>
      </c>
      <c r="V309" s="73"/>
      <c r="X309" s="30"/>
      <c r="Y309" s="54">
        <v>300</v>
      </c>
      <c r="Z309" s="70">
        <v>32300.05000000001</v>
      </c>
      <c r="AA309" s="75">
        <v>9103</v>
      </c>
      <c r="AB309" s="75">
        <v>5657.7500000000009</v>
      </c>
      <c r="AC309" s="75">
        <v>75167.25</v>
      </c>
      <c r="AD309" s="194">
        <v>311561.95</v>
      </c>
      <c r="AE309" s="194">
        <v>7041.25</v>
      </c>
      <c r="AF309" s="76">
        <v>7.0000000000000007E-2</v>
      </c>
      <c r="AG309" s="70">
        <v>3186.0500000000006</v>
      </c>
      <c r="AH309" s="31"/>
    </row>
    <row r="310" spans="3:34" x14ac:dyDescent="0.25">
      <c r="C310" s="72"/>
      <c r="D310" s="54">
        <v>301</v>
      </c>
      <c r="E310" s="70">
        <v>58351.91</v>
      </c>
      <c r="F310" s="75">
        <v>8750</v>
      </c>
      <c r="G310" s="75">
        <v>89354</v>
      </c>
      <c r="H310" s="194">
        <v>343364</v>
      </c>
      <c r="I310" s="194">
        <v>12791.44</v>
      </c>
      <c r="J310" s="75">
        <v>81753.173721494197</v>
      </c>
      <c r="K310" s="73"/>
      <c r="M310" s="72"/>
      <c r="N310" s="54">
        <v>301</v>
      </c>
      <c r="O310" s="70">
        <v>49245.700000000026</v>
      </c>
      <c r="P310" s="75">
        <v>12260</v>
      </c>
      <c r="Q310" s="75">
        <v>81756</v>
      </c>
      <c r="R310" s="194">
        <v>327554.15000000002</v>
      </c>
      <c r="S310" s="194">
        <v>6087.8</v>
      </c>
      <c r="T310" s="70">
        <v>1501.8500000000006</v>
      </c>
      <c r="U310" s="80">
        <v>81753.173721494197</v>
      </c>
      <c r="V310" s="73"/>
      <c r="X310" s="30"/>
      <c r="Y310" s="54">
        <v>301</v>
      </c>
      <c r="Z310" s="70">
        <v>59430.85000000002</v>
      </c>
      <c r="AA310" s="75">
        <v>12691</v>
      </c>
      <c r="AB310" s="75">
        <v>5978.9100000000008</v>
      </c>
      <c r="AC310" s="75">
        <v>79434.09</v>
      </c>
      <c r="AD310" s="194">
        <v>338922.15</v>
      </c>
      <c r="AE310" s="194">
        <v>7270.6500000000005</v>
      </c>
      <c r="AF310" s="76">
        <v>7.0000000000000007E-2</v>
      </c>
      <c r="AG310" s="70">
        <v>4441.8500000000013</v>
      </c>
      <c r="AH310" s="31"/>
    </row>
    <row r="311" spans="3:34" x14ac:dyDescent="0.25">
      <c r="C311" s="72"/>
      <c r="D311" s="54">
        <v>302</v>
      </c>
      <c r="E311" s="70">
        <v>30635.27</v>
      </c>
      <c r="F311" s="75">
        <v>8117</v>
      </c>
      <c r="G311" s="75">
        <v>81811</v>
      </c>
      <c r="H311" s="194">
        <v>314748</v>
      </c>
      <c r="I311" s="194">
        <v>11892.08</v>
      </c>
      <c r="J311" s="75">
        <v>81753.173721494197</v>
      </c>
      <c r="K311" s="73"/>
      <c r="M311" s="72"/>
      <c r="N311" s="54">
        <v>302</v>
      </c>
      <c r="O311" s="70">
        <v>91670.137499999983</v>
      </c>
      <c r="P311" s="75">
        <v>10645</v>
      </c>
      <c r="Q311" s="75">
        <v>95634</v>
      </c>
      <c r="R311" s="194">
        <v>370672.48749999999</v>
      </c>
      <c r="S311" s="194">
        <v>6781.7</v>
      </c>
      <c r="T311" s="70">
        <v>1304.0125000000005</v>
      </c>
      <c r="U311" s="80">
        <v>81753.173721494197</v>
      </c>
      <c r="V311" s="73"/>
      <c r="X311" s="30"/>
      <c r="Y311" s="54">
        <v>302</v>
      </c>
      <c r="Z311" s="70">
        <v>60314.65</v>
      </c>
      <c r="AA311" s="75">
        <v>9745</v>
      </c>
      <c r="AB311" s="75">
        <v>7952.3099999999995</v>
      </c>
      <c r="AC311" s="75">
        <v>80406.69</v>
      </c>
      <c r="AD311" s="194">
        <v>339953.25</v>
      </c>
      <c r="AE311" s="194">
        <v>7417.95</v>
      </c>
      <c r="AF311" s="76">
        <v>0.09</v>
      </c>
      <c r="AG311" s="70">
        <v>3410.7500000000009</v>
      </c>
      <c r="AH311" s="31"/>
    </row>
    <row r="312" spans="3:34" x14ac:dyDescent="0.25">
      <c r="C312" s="72"/>
      <c r="D312" s="54">
        <v>303</v>
      </c>
      <c r="E312" s="70">
        <v>44493.59</v>
      </c>
      <c r="F312" s="75">
        <v>8481</v>
      </c>
      <c r="G312" s="75">
        <v>85535</v>
      </c>
      <c r="H312" s="194">
        <v>329056</v>
      </c>
      <c r="I312" s="194">
        <v>12341.76</v>
      </c>
      <c r="J312" s="75">
        <v>81753.173721494197</v>
      </c>
      <c r="K312" s="73"/>
      <c r="M312" s="72"/>
      <c r="N312" s="54">
        <v>303</v>
      </c>
      <c r="O312" s="70">
        <v>91591.185000000027</v>
      </c>
      <c r="P312" s="75">
        <v>11734</v>
      </c>
      <c r="Q312" s="75">
        <v>94545</v>
      </c>
      <c r="R312" s="194">
        <v>370539.08500000002</v>
      </c>
      <c r="S312" s="194">
        <v>6727.25</v>
      </c>
      <c r="T312" s="70">
        <v>1437.4150000000006</v>
      </c>
      <c r="U312" s="80">
        <v>81753.173721494197</v>
      </c>
      <c r="V312" s="73"/>
      <c r="X312" s="30"/>
      <c r="Y312" s="54">
        <v>303</v>
      </c>
      <c r="Z312" s="70">
        <v>88253.199999999983</v>
      </c>
      <c r="AA312" s="75">
        <v>10629</v>
      </c>
      <c r="AB312" s="75">
        <v>6695.5000000000009</v>
      </c>
      <c r="AC312" s="75">
        <v>88954.5</v>
      </c>
      <c r="AD312" s="194">
        <v>368256.35</v>
      </c>
      <c r="AE312" s="194">
        <v>7782.5</v>
      </c>
      <c r="AF312" s="76">
        <v>7.0000000000000007E-2</v>
      </c>
      <c r="AG312" s="70">
        <v>3720.150000000001</v>
      </c>
      <c r="AH312" s="31"/>
    </row>
    <row r="313" spans="3:34" x14ac:dyDescent="0.25">
      <c r="C313" s="72"/>
      <c r="D313" s="54">
        <v>304</v>
      </c>
      <c r="E313" s="70">
        <v>58351.91</v>
      </c>
      <c r="F313" s="75">
        <v>9832</v>
      </c>
      <c r="G313" s="75">
        <v>88272</v>
      </c>
      <c r="H313" s="194">
        <v>343364</v>
      </c>
      <c r="I313" s="194">
        <v>12791.44</v>
      </c>
      <c r="J313" s="75">
        <v>81753.173721494197</v>
      </c>
      <c r="K313" s="73"/>
      <c r="M313" s="72"/>
      <c r="N313" s="54">
        <v>304</v>
      </c>
      <c r="O313" s="70">
        <v>35314.722500000011</v>
      </c>
      <c r="P313" s="75">
        <v>9879</v>
      </c>
      <c r="Q313" s="75">
        <v>80049</v>
      </c>
      <c r="R313" s="194">
        <v>313537.82250000001</v>
      </c>
      <c r="S313" s="194">
        <v>6002.4500000000007</v>
      </c>
      <c r="T313" s="70">
        <v>1210.1775000000005</v>
      </c>
      <c r="U313" s="80">
        <v>81753.173721494197</v>
      </c>
      <c r="V313" s="73"/>
      <c r="X313" s="30"/>
      <c r="Y313" s="54">
        <v>304</v>
      </c>
      <c r="Z313" s="70">
        <v>59423.35000000002</v>
      </c>
      <c r="AA313" s="75">
        <v>12716</v>
      </c>
      <c r="AB313" s="75">
        <v>4269.4000000000005</v>
      </c>
      <c r="AC313" s="75">
        <v>81118.600000000006</v>
      </c>
      <c r="AD313" s="194">
        <v>338913.4</v>
      </c>
      <c r="AE313" s="194">
        <v>7269.4000000000005</v>
      </c>
      <c r="AF313" s="76">
        <v>0.05</v>
      </c>
      <c r="AG313" s="70">
        <v>4450.6000000000013</v>
      </c>
      <c r="AH313" s="31"/>
    </row>
    <row r="314" spans="3:34" x14ac:dyDescent="0.25">
      <c r="C314" s="72"/>
      <c r="D314" s="54">
        <v>305</v>
      </c>
      <c r="E314" s="70">
        <v>44493.59</v>
      </c>
      <c r="F314" s="75">
        <v>4684</v>
      </c>
      <c r="G314" s="75">
        <v>89332</v>
      </c>
      <c r="H314" s="194">
        <v>329056</v>
      </c>
      <c r="I314" s="194">
        <v>12341.76</v>
      </c>
      <c r="J314" s="75">
        <v>81753.173721494197</v>
      </c>
      <c r="K314" s="73"/>
      <c r="M314" s="72"/>
      <c r="N314" s="54">
        <v>305</v>
      </c>
      <c r="O314" s="70">
        <v>49193.282500000016</v>
      </c>
      <c r="P314" s="75">
        <v>12983</v>
      </c>
      <c r="Q314" s="75">
        <v>81033</v>
      </c>
      <c r="R314" s="194">
        <v>327465.58250000002</v>
      </c>
      <c r="S314" s="194">
        <v>6051.65</v>
      </c>
      <c r="T314" s="70">
        <v>1590.4175000000007</v>
      </c>
      <c r="U314" s="80">
        <v>81753.173721494197</v>
      </c>
      <c r="V314" s="73"/>
      <c r="X314" s="30"/>
      <c r="Y314" s="54">
        <v>305</v>
      </c>
      <c r="Z314" s="70">
        <v>44914.750000000022</v>
      </c>
      <c r="AA314" s="75">
        <v>14066</v>
      </c>
      <c r="AB314" s="75">
        <v>4797</v>
      </c>
      <c r="AC314" s="75">
        <v>75153</v>
      </c>
      <c r="AD314" s="194">
        <v>324132.90000000002</v>
      </c>
      <c r="AE314" s="194">
        <v>6997.5</v>
      </c>
      <c r="AF314" s="76">
        <v>0.06</v>
      </c>
      <c r="AG314" s="70">
        <v>4923.1000000000013</v>
      </c>
      <c r="AH314" s="31"/>
    </row>
    <row r="315" spans="3:34" x14ac:dyDescent="0.25">
      <c r="C315" s="72"/>
      <c r="D315" s="54">
        <v>306</v>
      </c>
      <c r="E315" s="70">
        <v>44493.59</v>
      </c>
      <c r="F315" s="75">
        <v>4710</v>
      </c>
      <c r="G315" s="75">
        <v>89306</v>
      </c>
      <c r="H315" s="194">
        <v>329056</v>
      </c>
      <c r="I315" s="194">
        <v>12341.76</v>
      </c>
      <c r="J315" s="75">
        <v>81753.173721494197</v>
      </c>
      <c r="K315" s="73"/>
      <c r="M315" s="72"/>
      <c r="N315" s="54">
        <v>306</v>
      </c>
      <c r="O315" s="70">
        <v>49182.770000000004</v>
      </c>
      <c r="P315" s="75">
        <v>13128</v>
      </c>
      <c r="Q315" s="75">
        <v>80888</v>
      </c>
      <c r="R315" s="194">
        <v>327447.82</v>
      </c>
      <c r="S315" s="194">
        <v>6044.4</v>
      </c>
      <c r="T315" s="70">
        <v>1608.1800000000007</v>
      </c>
      <c r="U315" s="80">
        <v>81753.173721494197</v>
      </c>
      <c r="V315" s="73"/>
      <c r="X315" s="30"/>
      <c r="Y315" s="54">
        <v>306</v>
      </c>
      <c r="Z315" s="70">
        <v>46300.150000000009</v>
      </c>
      <c r="AA315" s="75">
        <v>9448</v>
      </c>
      <c r="AB315" s="75">
        <v>8456.8000000000011</v>
      </c>
      <c r="AC315" s="75">
        <v>76111.199999999997</v>
      </c>
      <c r="AD315" s="194">
        <v>325749.2</v>
      </c>
      <c r="AE315" s="194">
        <v>7228.4000000000005</v>
      </c>
      <c r="AF315" s="76">
        <v>0.1</v>
      </c>
      <c r="AG315" s="70">
        <v>3306.8000000000006</v>
      </c>
      <c r="AH315" s="31"/>
    </row>
    <row r="316" spans="3:34" x14ac:dyDescent="0.25">
      <c r="C316" s="72"/>
      <c r="D316" s="54">
        <v>307</v>
      </c>
      <c r="E316" s="70">
        <v>30635.27</v>
      </c>
      <c r="F316" s="75">
        <v>9159</v>
      </c>
      <c r="G316" s="75">
        <v>80769</v>
      </c>
      <c r="H316" s="194">
        <v>314748</v>
      </c>
      <c r="I316" s="194">
        <v>11892.08</v>
      </c>
      <c r="J316" s="75">
        <v>81753.173721494197</v>
      </c>
      <c r="K316" s="73"/>
      <c r="M316" s="72"/>
      <c r="N316" s="54">
        <v>307</v>
      </c>
      <c r="O316" s="70">
        <v>91351.935000000027</v>
      </c>
      <c r="P316" s="75">
        <v>15034</v>
      </c>
      <c r="Q316" s="75">
        <v>91245</v>
      </c>
      <c r="R316" s="194">
        <v>370134.83500000002</v>
      </c>
      <c r="S316" s="194">
        <v>6562.25</v>
      </c>
      <c r="T316" s="70">
        <v>1841.6650000000009</v>
      </c>
      <c r="U316" s="80">
        <v>81753.173721494197</v>
      </c>
      <c r="V316" s="73"/>
      <c r="X316" s="30"/>
      <c r="Y316" s="54">
        <v>307</v>
      </c>
      <c r="Z316" s="70">
        <v>59409.250000000015</v>
      </c>
      <c r="AA316" s="75">
        <v>12763</v>
      </c>
      <c r="AB316" s="75">
        <v>7680.69</v>
      </c>
      <c r="AC316" s="75">
        <v>77660.31</v>
      </c>
      <c r="AD316" s="194">
        <v>338896.95</v>
      </c>
      <c r="AE316" s="194">
        <v>7267.05</v>
      </c>
      <c r="AF316" s="76">
        <v>0.09</v>
      </c>
      <c r="AG316" s="70">
        <v>4467.0500000000011</v>
      </c>
      <c r="AH316" s="31"/>
    </row>
    <row r="317" spans="3:34" x14ac:dyDescent="0.25">
      <c r="C317" s="72"/>
      <c r="D317" s="54">
        <v>308</v>
      </c>
      <c r="E317" s="70">
        <v>44493.59</v>
      </c>
      <c r="F317" s="75">
        <v>4709</v>
      </c>
      <c r="G317" s="75">
        <v>89307</v>
      </c>
      <c r="H317" s="194">
        <v>329056</v>
      </c>
      <c r="I317" s="194">
        <v>12341.76</v>
      </c>
      <c r="J317" s="75">
        <v>81753.173721494197</v>
      </c>
      <c r="K317" s="73"/>
      <c r="M317" s="72"/>
      <c r="N317" s="54">
        <v>308</v>
      </c>
      <c r="O317" s="70">
        <v>49177.187500000015</v>
      </c>
      <c r="P317" s="75">
        <v>13205</v>
      </c>
      <c r="Q317" s="75">
        <v>80811</v>
      </c>
      <c r="R317" s="194">
        <v>327438.38750000001</v>
      </c>
      <c r="S317" s="194">
        <v>6040.55</v>
      </c>
      <c r="T317" s="70">
        <v>1617.6125000000006</v>
      </c>
      <c r="U317" s="80">
        <v>81753.173721494197</v>
      </c>
      <c r="V317" s="73"/>
      <c r="X317" s="30"/>
      <c r="Y317" s="54">
        <v>308</v>
      </c>
      <c r="Z317" s="70">
        <v>32295.849999999988</v>
      </c>
      <c r="AA317" s="75">
        <v>9117</v>
      </c>
      <c r="AB317" s="75">
        <v>8081.1</v>
      </c>
      <c r="AC317" s="75">
        <v>72729.899999999994</v>
      </c>
      <c r="AD317" s="194">
        <v>311557.05</v>
      </c>
      <c r="AE317" s="194">
        <v>7040.55</v>
      </c>
      <c r="AF317" s="76">
        <v>0.1</v>
      </c>
      <c r="AG317" s="70">
        <v>3190.9500000000007</v>
      </c>
      <c r="AH317" s="31"/>
    </row>
    <row r="318" spans="3:34" x14ac:dyDescent="0.25">
      <c r="C318" s="72"/>
      <c r="D318" s="54">
        <v>309</v>
      </c>
      <c r="E318" s="70">
        <v>30635.27</v>
      </c>
      <c r="F318" s="75">
        <v>7085</v>
      </c>
      <c r="G318" s="75">
        <v>82843</v>
      </c>
      <c r="H318" s="194">
        <v>314748</v>
      </c>
      <c r="I318" s="194">
        <v>11892.08</v>
      </c>
      <c r="J318" s="75">
        <v>81753.173721494197</v>
      </c>
      <c r="K318" s="73"/>
      <c r="M318" s="72"/>
      <c r="N318" s="54">
        <v>309</v>
      </c>
      <c r="O318" s="70">
        <v>63166.164999999964</v>
      </c>
      <c r="P318" s="75">
        <v>14786</v>
      </c>
      <c r="Q318" s="75">
        <v>83318</v>
      </c>
      <c r="R318" s="194">
        <v>341552.71499999997</v>
      </c>
      <c r="S318" s="194">
        <v>6165.9000000000005</v>
      </c>
      <c r="T318" s="70">
        <v>1811.2850000000008</v>
      </c>
      <c r="U318" s="80">
        <v>81753.173721494197</v>
      </c>
      <c r="V318" s="73"/>
      <c r="X318" s="30"/>
      <c r="Y318" s="54">
        <v>309</v>
      </c>
      <c r="Z318" s="70">
        <v>87639.10000000002</v>
      </c>
      <c r="AA318" s="75">
        <v>12676</v>
      </c>
      <c r="AB318" s="75">
        <v>5616.1799999999994</v>
      </c>
      <c r="AC318" s="75">
        <v>87986.82</v>
      </c>
      <c r="AD318" s="194">
        <v>367539.9</v>
      </c>
      <c r="AE318" s="194">
        <v>7680.1500000000005</v>
      </c>
      <c r="AF318" s="76">
        <v>0.06</v>
      </c>
      <c r="AG318" s="70">
        <v>4436.6000000000013</v>
      </c>
      <c r="AH318" s="31"/>
    </row>
    <row r="319" spans="3:34" x14ac:dyDescent="0.25">
      <c r="C319" s="72"/>
      <c r="D319" s="54">
        <v>310</v>
      </c>
      <c r="E319" s="70">
        <v>44493.59</v>
      </c>
      <c r="F319" s="75">
        <v>4702</v>
      </c>
      <c r="G319" s="75">
        <v>89314</v>
      </c>
      <c r="H319" s="194">
        <v>329056</v>
      </c>
      <c r="I319" s="194">
        <v>12341.76</v>
      </c>
      <c r="J319" s="75">
        <v>81753.173721494197</v>
      </c>
      <c r="K319" s="73"/>
      <c r="M319" s="72"/>
      <c r="N319" s="54">
        <v>310</v>
      </c>
      <c r="O319" s="70">
        <v>49310.297499999986</v>
      </c>
      <c r="P319" s="75">
        <v>11369</v>
      </c>
      <c r="Q319" s="75">
        <v>82647</v>
      </c>
      <c r="R319" s="194">
        <v>327663.29749999999</v>
      </c>
      <c r="S319" s="194">
        <v>6132.35</v>
      </c>
      <c r="T319" s="70">
        <v>1392.7025000000006</v>
      </c>
      <c r="U319" s="80">
        <v>81753.173721494197</v>
      </c>
      <c r="V319" s="73"/>
      <c r="X319" s="30"/>
      <c r="Y319" s="54">
        <v>310</v>
      </c>
      <c r="Z319" s="70">
        <v>44924.650000000009</v>
      </c>
      <c r="AA319" s="75">
        <v>14033</v>
      </c>
      <c r="AB319" s="75">
        <v>7998.3</v>
      </c>
      <c r="AC319" s="75">
        <v>71984.7</v>
      </c>
      <c r="AD319" s="194">
        <v>324144.45</v>
      </c>
      <c r="AE319" s="194">
        <v>6999.15</v>
      </c>
      <c r="AF319" s="76">
        <v>0.1</v>
      </c>
      <c r="AG319" s="70">
        <v>4911.5500000000011</v>
      </c>
      <c r="AH319" s="31"/>
    </row>
    <row r="320" spans="3:34" x14ac:dyDescent="0.25">
      <c r="C320" s="72"/>
      <c r="D320" s="54">
        <v>311</v>
      </c>
      <c r="E320" s="70">
        <v>44493.59</v>
      </c>
      <c r="F320" s="75">
        <v>4743</v>
      </c>
      <c r="G320" s="75">
        <v>89273</v>
      </c>
      <c r="H320" s="194">
        <v>329056</v>
      </c>
      <c r="I320" s="194">
        <v>12341.76</v>
      </c>
      <c r="J320" s="75">
        <v>81753.173721494197</v>
      </c>
      <c r="K320" s="73"/>
      <c r="M320" s="72"/>
      <c r="N320" s="54">
        <v>311</v>
      </c>
      <c r="O320" s="70">
        <v>49321.027499999989</v>
      </c>
      <c r="P320" s="75">
        <v>11221</v>
      </c>
      <c r="Q320" s="75">
        <v>82795</v>
      </c>
      <c r="R320" s="194">
        <v>327681.42749999999</v>
      </c>
      <c r="S320" s="194">
        <v>6139.75</v>
      </c>
      <c r="T320" s="70">
        <v>1374.5725000000007</v>
      </c>
      <c r="U320" s="80">
        <v>81753.173721494197</v>
      </c>
      <c r="V320" s="73"/>
      <c r="X320" s="30"/>
      <c r="Y320" s="54">
        <v>311</v>
      </c>
      <c r="Z320" s="70">
        <v>59962.15</v>
      </c>
      <c r="AA320" s="75">
        <v>10920</v>
      </c>
      <c r="AB320" s="75">
        <v>5231.04</v>
      </c>
      <c r="AC320" s="75">
        <v>81952.960000000006</v>
      </c>
      <c r="AD320" s="194">
        <v>339542</v>
      </c>
      <c r="AE320" s="194">
        <v>7359.2</v>
      </c>
      <c r="AF320" s="76">
        <v>0.06</v>
      </c>
      <c r="AG320" s="70">
        <v>3822.0000000000009</v>
      </c>
      <c r="AH320" s="31"/>
    </row>
    <row r="321" spans="3:34" x14ac:dyDescent="0.25">
      <c r="C321" s="72"/>
      <c r="D321" s="54">
        <v>312</v>
      </c>
      <c r="E321" s="70">
        <v>44493.59</v>
      </c>
      <c r="F321" s="75">
        <v>6684</v>
      </c>
      <c r="G321" s="75">
        <v>87332</v>
      </c>
      <c r="H321" s="194">
        <v>329056</v>
      </c>
      <c r="I321" s="194">
        <v>12341.76</v>
      </c>
      <c r="J321" s="75">
        <v>81753.173721494197</v>
      </c>
      <c r="K321" s="73"/>
      <c r="M321" s="72"/>
      <c r="N321" s="54">
        <v>312</v>
      </c>
      <c r="O321" s="70">
        <v>35189.370000000017</v>
      </c>
      <c r="P321" s="75">
        <v>11608</v>
      </c>
      <c r="Q321" s="75">
        <v>78320</v>
      </c>
      <c r="R321" s="194">
        <v>313326.02</v>
      </c>
      <c r="S321" s="194">
        <v>5916</v>
      </c>
      <c r="T321" s="70">
        <v>1421.9800000000007</v>
      </c>
      <c r="U321" s="80">
        <v>81753.173721494197</v>
      </c>
      <c r="V321" s="73"/>
      <c r="X321" s="30"/>
      <c r="Y321" s="54">
        <v>312</v>
      </c>
      <c r="Z321" s="70">
        <v>46321.150000000009</v>
      </c>
      <c r="AA321" s="75">
        <v>9378</v>
      </c>
      <c r="AB321" s="75">
        <v>4231.9000000000005</v>
      </c>
      <c r="AC321" s="75">
        <v>80406.100000000006</v>
      </c>
      <c r="AD321" s="194">
        <v>325773.7</v>
      </c>
      <c r="AE321" s="194">
        <v>7231.9000000000005</v>
      </c>
      <c r="AF321" s="76">
        <v>0.05</v>
      </c>
      <c r="AG321" s="70">
        <v>3282.3000000000006</v>
      </c>
      <c r="AH321" s="31"/>
    </row>
    <row r="322" spans="3:34" x14ac:dyDescent="0.25">
      <c r="C322" s="72"/>
      <c r="D322" s="54">
        <v>313</v>
      </c>
      <c r="E322" s="70">
        <v>30635.27</v>
      </c>
      <c r="F322" s="75">
        <v>5419</v>
      </c>
      <c r="G322" s="75">
        <v>84509</v>
      </c>
      <c r="H322" s="194">
        <v>314748</v>
      </c>
      <c r="I322" s="194">
        <v>11892.08</v>
      </c>
      <c r="J322" s="75">
        <v>81753.173721494197</v>
      </c>
      <c r="K322" s="73"/>
      <c r="M322" s="72"/>
      <c r="N322" s="54">
        <v>313</v>
      </c>
      <c r="O322" s="70">
        <v>49108.095000000016</v>
      </c>
      <c r="P322" s="75">
        <v>14158</v>
      </c>
      <c r="Q322" s="75">
        <v>79858</v>
      </c>
      <c r="R322" s="194">
        <v>327321.64500000002</v>
      </c>
      <c r="S322" s="194">
        <v>5992.9</v>
      </c>
      <c r="T322" s="70">
        <v>1734.3550000000007</v>
      </c>
      <c r="U322" s="80">
        <v>81753.173721494197</v>
      </c>
      <c r="V322" s="73"/>
      <c r="X322" s="30"/>
      <c r="Y322" s="54">
        <v>313</v>
      </c>
      <c r="Z322" s="70">
        <v>58812.85000000002</v>
      </c>
      <c r="AA322" s="75">
        <v>14751</v>
      </c>
      <c r="AB322" s="75">
        <v>5834.7100000000009</v>
      </c>
      <c r="AC322" s="75">
        <v>77518.289999999994</v>
      </c>
      <c r="AD322" s="194">
        <v>338201.15</v>
      </c>
      <c r="AE322" s="194">
        <v>7167.6500000000005</v>
      </c>
      <c r="AF322" s="76">
        <v>7.0000000000000007E-2</v>
      </c>
      <c r="AG322" s="70">
        <v>5162.8500000000013</v>
      </c>
      <c r="AH322" s="31"/>
    </row>
    <row r="323" spans="3:34" x14ac:dyDescent="0.25">
      <c r="C323" s="72"/>
      <c r="D323" s="54">
        <v>314</v>
      </c>
      <c r="E323" s="70">
        <v>30635.27</v>
      </c>
      <c r="F323" s="75">
        <v>4451</v>
      </c>
      <c r="G323" s="75">
        <v>85477</v>
      </c>
      <c r="H323" s="194">
        <v>314748</v>
      </c>
      <c r="I323" s="194">
        <v>11892.08</v>
      </c>
      <c r="J323" s="75">
        <v>81753.173721494197</v>
      </c>
      <c r="K323" s="73"/>
      <c r="M323" s="72"/>
      <c r="N323" s="54">
        <v>314</v>
      </c>
      <c r="O323" s="70">
        <v>63239.027500000011</v>
      </c>
      <c r="P323" s="75">
        <v>13781</v>
      </c>
      <c r="Q323" s="75">
        <v>84323</v>
      </c>
      <c r="R323" s="194">
        <v>341675.82750000001</v>
      </c>
      <c r="S323" s="194">
        <v>6216.1500000000005</v>
      </c>
      <c r="T323" s="70">
        <v>1688.1725000000008</v>
      </c>
      <c r="U323" s="80">
        <v>81753.173721494197</v>
      </c>
      <c r="V323" s="73"/>
      <c r="X323" s="30"/>
      <c r="Y323" s="54">
        <v>314</v>
      </c>
      <c r="Z323" s="70">
        <v>87004.000000000015</v>
      </c>
      <c r="AA323" s="75">
        <v>14793</v>
      </c>
      <c r="AB323" s="75">
        <v>6404.02</v>
      </c>
      <c r="AC323" s="75">
        <v>85081.98</v>
      </c>
      <c r="AD323" s="194">
        <v>366798.95</v>
      </c>
      <c r="AE323" s="194">
        <v>7574.3</v>
      </c>
      <c r="AF323" s="76">
        <v>7.0000000000000007E-2</v>
      </c>
      <c r="AG323" s="70">
        <v>5177.5500000000011</v>
      </c>
      <c r="AH323" s="31"/>
    </row>
    <row r="324" spans="3:34" x14ac:dyDescent="0.25">
      <c r="C324" s="72"/>
      <c r="D324" s="54">
        <v>315</v>
      </c>
      <c r="E324" s="70">
        <v>44493.59</v>
      </c>
      <c r="F324" s="75">
        <v>6588</v>
      </c>
      <c r="G324" s="75">
        <v>87428</v>
      </c>
      <c r="H324" s="194">
        <v>329056</v>
      </c>
      <c r="I324" s="194">
        <v>12341.76</v>
      </c>
      <c r="J324" s="75">
        <v>81753.173721494197</v>
      </c>
      <c r="K324" s="73"/>
      <c r="M324" s="72"/>
      <c r="N324" s="54">
        <v>315</v>
      </c>
      <c r="O324" s="70">
        <v>49460.3</v>
      </c>
      <c r="P324" s="75">
        <v>9300</v>
      </c>
      <c r="Q324" s="75">
        <v>84716</v>
      </c>
      <c r="R324" s="194">
        <v>327916.75</v>
      </c>
      <c r="S324" s="194">
        <v>6235.8</v>
      </c>
      <c r="T324" s="70">
        <v>1139.2500000000005</v>
      </c>
      <c r="U324" s="80">
        <v>81753.173721494197</v>
      </c>
      <c r="V324" s="73"/>
      <c r="X324" s="30"/>
      <c r="Y324" s="54">
        <v>315</v>
      </c>
      <c r="Z324" s="70">
        <v>59718.85000000002</v>
      </c>
      <c r="AA324" s="75">
        <v>11731</v>
      </c>
      <c r="AB324" s="75">
        <v>5182.38</v>
      </c>
      <c r="AC324" s="75">
        <v>81190.62</v>
      </c>
      <c r="AD324" s="194">
        <v>339258.15</v>
      </c>
      <c r="AE324" s="194">
        <v>7318.6500000000005</v>
      </c>
      <c r="AF324" s="76">
        <v>0.06</v>
      </c>
      <c r="AG324" s="70">
        <v>4105.8500000000013</v>
      </c>
      <c r="AH324" s="31"/>
    </row>
    <row r="325" spans="3:34" x14ac:dyDescent="0.25">
      <c r="C325" s="72"/>
      <c r="D325" s="54">
        <v>316</v>
      </c>
      <c r="E325" s="70">
        <v>44493.59</v>
      </c>
      <c r="F325" s="75">
        <v>9374</v>
      </c>
      <c r="G325" s="75">
        <v>84642</v>
      </c>
      <c r="H325" s="194">
        <v>329056</v>
      </c>
      <c r="I325" s="194">
        <v>12341.76</v>
      </c>
      <c r="J325" s="75">
        <v>81753.173721494197</v>
      </c>
      <c r="K325" s="73"/>
      <c r="M325" s="72"/>
      <c r="N325" s="54">
        <v>316</v>
      </c>
      <c r="O325" s="70">
        <v>35243.962500000009</v>
      </c>
      <c r="P325" s="75">
        <v>10855</v>
      </c>
      <c r="Q325" s="75">
        <v>79073</v>
      </c>
      <c r="R325" s="194">
        <v>313418.26250000001</v>
      </c>
      <c r="S325" s="194">
        <v>5953.65</v>
      </c>
      <c r="T325" s="70">
        <v>1329.7375000000006</v>
      </c>
      <c r="U325" s="80">
        <v>81753.173721494197</v>
      </c>
      <c r="V325" s="73"/>
      <c r="X325" s="30"/>
      <c r="Y325" s="54">
        <v>316</v>
      </c>
      <c r="Z325" s="70">
        <v>30984.55000000001</v>
      </c>
      <c r="AA325" s="75">
        <v>13488</v>
      </c>
      <c r="AB325" s="75">
        <v>6879.5999999999995</v>
      </c>
      <c r="AC325" s="75">
        <v>69560.399999999994</v>
      </c>
      <c r="AD325" s="194">
        <v>310027.2</v>
      </c>
      <c r="AE325" s="194">
        <v>6822</v>
      </c>
      <c r="AF325" s="76">
        <v>0.09</v>
      </c>
      <c r="AG325" s="70">
        <v>4720.8000000000011</v>
      </c>
      <c r="AH325" s="31"/>
    </row>
    <row r="326" spans="3:34" x14ac:dyDescent="0.25">
      <c r="C326" s="72"/>
      <c r="D326" s="54">
        <v>317</v>
      </c>
      <c r="E326" s="70">
        <v>44493.59</v>
      </c>
      <c r="F326" s="75">
        <v>7663</v>
      </c>
      <c r="G326" s="75">
        <v>86353</v>
      </c>
      <c r="H326" s="194">
        <v>329056</v>
      </c>
      <c r="I326" s="194">
        <v>12341.76</v>
      </c>
      <c r="J326" s="75">
        <v>81753.173721494197</v>
      </c>
      <c r="K326" s="73"/>
      <c r="M326" s="72"/>
      <c r="N326" s="54">
        <v>317</v>
      </c>
      <c r="O326" s="70">
        <v>35205.392500000031</v>
      </c>
      <c r="P326" s="75">
        <v>11387</v>
      </c>
      <c r="Q326" s="75">
        <v>78541</v>
      </c>
      <c r="R326" s="194">
        <v>313353.09250000003</v>
      </c>
      <c r="S326" s="194">
        <v>5927.05</v>
      </c>
      <c r="T326" s="70">
        <v>1394.9075000000007</v>
      </c>
      <c r="U326" s="80">
        <v>81753.173721494197</v>
      </c>
      <c r="V326" s="73"/>
      <c r="X326" s="30"/>
      <c r="Y326" s="54">
        <v>317</v>
      </c>
      <c r="Z326" s="70">
        <v>46039.44999999999</v>
      </c>
      <c r="AA326" s="75">
        <v>10317</v>
      </c>
      <c r="AB326" s="75">
        <v>8369.9</v>
      </c>
      <c r="AC326" s="75">
        <v>75329.100000000006</v>
      </c>
      <c r="AD326" s="194">
        <v>325445.05</v>
      </c>
      <c r="AE326" s="194">
        <v>7184.95</v>
      </c>
      <c r="AF326" s="76">
        <v>0.1</v>
      </c>
      <c r="AG326" s="70">
        <v>3610.9500000000007</v>
      </c>
      <c r="AH326" s="31"/>
    </row>
    <row r="327" spans="3:34" x14ac:dyDescent="0.25">
      <c r="C327" s="72"/>
      <c r="D327" s="54">
        <v>318</v>
      </c>
      <c r="E327" s="70">
        <v>58351.91</v>
      </c>
      <c r="F327" s="75">
        <v>4989</v>
      </c>
      <c r="G327" s="75">
        <v>93115</v>
      </c>
      <c r="H327" s="194">
        <v>343364</v>
      </c>
      <c r="I327" s="194">
        <v>12791.44</v>
      </c>
      <c r="J327" s="75">
        <v>81753.173721494197</v>
      </c>
      <c r="K327" s="73"/>
      <c r="M327" s="72"/>
      <c r="N327" s="54">
        <v>318</v>
      </c>
      <c r="O327" s="70">
        <v>35051.184999999976</v>
      </c>
      <c r="P327" s="75">
        <v>13514</v>
      </c>
      <c r="Q327" s="75">
        <v>76414</v>
      </c>
      <c r="R327" s="194">
        <v>313092.53499999997</v>
      </c>
      <c r="S327" s="194">
        <v>5820.7000000000007</v>
      </c>
      <c r="T327" s="70">
        <v>1655.4650000000008</v>
      </c>
      <c r="U327" s="80">
        <v>81753.173721494197</v>
      </c>
      <c r="V327" s="73"/>
      <c r="X327" s="30"/>
      <c r="Y327" s="54">
        <v>318</v>
      </c>
      <c r="Z327" s="70">
        <v>45972.55</v>
      </c>
      <c r="AA327" s="75">
        <v>10540</v>
      </c>
      <c r="AB327" s="75">
        <v>5008.5599999999995</v>
      </c>
      <c r="AC327" s="75">
        <v>78467.44</v>
      </c>
      <c r="AD327" s="194">
        <v>325367</v>
      </c>
      <c r="AE327" s="194">
        <v>7173.8</v>
      </c>
      <c r="AF327" s="76">
        <v>0.06</v>
      </c>
      <c r="AG327" s="70">
        <v>3689.0000000000009</v>
      </c>
      <c r="AH327" s="31"/>
    </row>
    <row r="328" spans="3:34" x14ac:dyDescent="0.25">
      <c r="C328" s="72"/>
      <c r="D328" s="54">
        <v>319</v>
      </c>
      <c r="E328" s="70">
        <v>58351.91</v>
      </c>
      <c r="F328" s="75">
        <v>5850</v>
      </c>
      <c r="G328" s="75">
        <v>92254</v>
      </c>
      <c r="H328" s="194">
        <v>343364</v>
      </c>
      <c r="I328" s="194">
        <v>12791.44</v>
      </c>
      <c r="J328" s="75">
        <v>81753.173721494197</v>
      </c>
      <c r="K328" s="73"/>
      <c r="M328" s="72"/>
      <c r="N328" s="54">
        <v>319</v>
      </c>
      <c r="O328" s="70">
        <v>49117.665000000001</v>
      </c>
      <c r="P328" s="75">
        <v>14026</v>
      </c>
      <c r="Q328" s="75">
        <v>79990</v>
      </c>
      <c r="R328" s="194">
        <v>327337.815</v>
      </c>
      <c r="S328" s="194">
        <v>5999.5</v>
      </c>
      <c r="T328" s="70">
        <v>1718.1850000000009</v>
      </c>
      <c r="U328" s="80">
        <v>81753.173721494197</v>
      </c>
      <c r="V328" s="73"/>
      <c r="X328" s="30"/>
      <c r="Y328" s="54">
        <v>319</v>
      </c>
      <c r="Z328" s="70">
        <v>60306.250000000015</v>
      </c>
      <c r="AA328" s="75">
        <v>9773</v>
      </c>
      <c r="AB328" s="75">
        <v>8833.1</v>
      </c>
      <c r="AC328" s="75">
        <v>79497.899999999994</v>
      </c>
      <c r="AD328" s="194">
        <v>339943.45</v>
      </c>
      <c r="AE328" s="194">
        <v>7416.55</v>
      </c>
      <c r="AF328" s="76">
        <v>0.1</v>
      </c>
      <c r="AG328" s="70">
        <v>3420.5500000000011</v>
      </c>
      <c r="AH328" s="31"/>
    </row>
    <row r="329" spans="3:34" x14ac:dyDescent="0.25">
      <c r="C329" s="72"/>
      <c r="D329" s="54">
        <v>320</v>
      </c>
      <c r="E329" s="70">
        <v>44493.59</v>
      </c>
      <c r="F329" s="75">
        <v>5664</v>
      </c>
      <c r="G329" s="75">
        <v>88352</v>
      </c>
      <c r="H329" s="194">
        <v>329056</v>
      </c>
      <c r="I329" s="194">
        <v>12341.76</v>
      </c>
      <c r="J329" s="75">
        <v>81753.173721494197</v>
      </c>
      <c r="K329" s="73"/>
      <c r="M329" s="72"/>
      <c r="N329" s="54">
        <v>320</v>
      </c>
      <c r="O329" s="70">
        <v>63391.64</v>
      </c>
      <c r="P329" s="75">
        <v>11676</v>
      </c>
      <c r="Q329" s="75">
        <v>86428</v>
      </c>
      <c r="R329" s="194">
        <v>341933.69</v>
      </c>
      <c r="S329" s="194">
        <v>6321.4000000000005</v>
      </c>
      <c r="T329" s="70">
        <v>1430.3100000000006</v>
      </c>
      <c r="U329" s="80">
        <v>81753.173721494197</v>
      </c>
      <c r="V329" s="73"/>
      <c r="X329" s="30"/>
      <c r="Y329" s="54">
        <v>320</v>
      </c>
      <c r="Z329" s="70">
        <v>60305.049999999988</v>
      </c>
      <c r="AA329" s="75">
        <v>9777</v>
      </c>
      <c r="AB329" s="75">
        <v>6182.89</v>
      </c>
      <c r="AC329" s="75">
        <v>82144.11</v>
      </c>
      <c r="AD329" s="194">
        <v>339942.05</v>
      </c>
      <c r="AE329" s="194">
        <v>7416.35</v>
      </c>
      <c r="AF329" s="76">
        <v>7.0000000000000007E-2</v>
      </c>
      <c r="AG329" s="70">
        <v>3421.9500000000007</v>
      </c>
      <c r="AH329" s="31"/>
    </row>
    <row r="330" spans="3:34" x14ac:dyDescent="0.25">
      <c r="C330" s="72"/>
      <c r="D330" s="54">
        <v>321</v>
      </c>
      <c r="E330" s="70">
        <v>58351.91</v>
      </c>
      <c r="F330" s="75">
        <v>5007</v>
      </c>
      <c r="G330" s="75">
        <v>93097</v>
      </c>
      <c r="H330" s="194">
        <v>343364</v>
      </c>
      <c r="I330" s="194">
        <v>12791.44</v>
      </c>
      <c r="J330" s="75">
        <v>81753.173721494197</v>
      </c>
      <c r="K330" s="73"/>
      <c r="M330" s="72"/>
      <c r="N330" s="54">
        <v>321</v>
      </c>
      <c r="O330" s="70">
        <v>49169.357499999969</v>
      </c>
      <c r="P330" s="75">
        <v>13313</v>
      </c>
      <c r="Q330" s="75">
        <v>80703</v>
      </c>
      <c r="R330" s="194">
        <v>327425.15749999997</v>
      </c>
      <c r="S330" s="194">
        <v>6035.15</v>
      </c>
      <c r="T330" s="70">
        <v>1630.8425000000007</v>
      </c>
      <c r="U330" s="80">
        <v>81753.173721494197</v>
      </c>
      <c r="V330" s="73"/>
      <c r="X330" s="30"/>
      <c r="Y330" s="54">
        <v>321</v>
      </c>
      <c r="Z330" s="70">
        <v>46023.55</v>
      </c>
      <c r="AA330" s="75">
        <v>10370</v>
      </c>
      <c r="AB330" s="75">
        <v>5855.22</v>
      </c>
      <c r="AC330" s="75">
        <v>77790.78</v>
      </c>
      <c r="AD330" s="194">
        <v>325426.5</v>
      </c>
      <c r="AE330" s="194">
        <v>7182.3</v>
      </c>
      <c r="AF330" s="76">
        <v>7.0000000000000007E-2</v>
      </c>
      <c r="AG330" s="70">
        <v>3629.5000000000009</v>
      </c>
      <c r="AH330" s="31"/>
    </row>
    <row r="331" spans="3:34" x14ac:dyDescent="0.25">
      <c r="C331" s="72"/>
      <c r="D331" s="54">
        <v>322</v>
      </c>
      <c r="E331" s="70">
        <v>30635.27</v>
      </c>
      <c r="F331" s="75">
        <v>5363</v>
      </c>
      <c r="G331" s="75">
        <v>84565</v>
      </c>
      <c r="H331" s="194">
        <v>314748</v>
      </c>
      <c r="I331" s="194">
        <v>11892.08</v>
      </c>
      <c r="J331" s="75">
        <v>81753.173721494197</v>
      </c>
      <c r="K331" s="73"/>
      <c r="M331" s="72"/>
      <c r="N331" s="54">
        <v>322</v>
      </c>
      <c r="O331" s="70">
        <v>35390.194999999971</v>
      </c>
      <c r="P331" s="75">
        <v>8838</v>
      </c>
      <c r="Q331" s="75">
        <v>81090</v>
      </c>
      <c r="R331" s="194">
        <v>313665.34499999997</v>
      </c>
      <c r="S331" s="194">
        <v>6054.5</v>
      </c>
      <c r="T331" s="70">
        <v>1082.6550000000004</v>
      </c>
      <c r="U331" s="80">
        <v>81753.173721494197</v>
      </c>
      <c r="V331" s="73"/>
      <c r="X331" s="30"/>
      <c r="Y331" s="54">
        <v>322</v>
      </c>
      <c r="Z331" s="70">
        <v>60289.449999999975</v>
      </c>
      <c r="AA331" s="75">
        <v>9829</v>
      </c>
      <c r="AB331" s="75">
        <v>4413.75</v>
      </c>
      <c r="AC331" s="75">
        <v>83861.25</v>
      </c>
      <c r="AD331" s="194">
        <v>339923.85</v>
      </c>
      <c r="AE331" s="194">
        <v>7413.75</v>
      </c>
      <c r="AF331" s="76">
        <v>0.05</v>
      </c>
      <c r="AG331" s="70">
        <v>3440.150000000001</v>
      </c>
      <c r="AH331" s="31"/>
    </row>
    <row r="332" spans="3:34" x14ac:dyDescent="0.25">
      <c r="C332" s="72"/>
      <c r="D332" s="54">
        <v>323</v>
      </c>
      <c r="E332" s="70">
        <v>58351.91</v>
      </c>
      <c r="F332" s="75">
        <v>9672</v>
      </c>
      <c r="G332" s="75">
        <v>88432</v>
      </c>
      <c r="H332" s="194">
        <v>343364</v>
      </c>
      <c r="I332" s="194">
        <v>12791.44</v>
      </c>
      <c r="J332" s="75">
        <v>81753.173721494197</v>
      </c>
      <c r="K332" s="73"/>
      <c r="M332" s="72"/>
      <c r="N332" s="54">
        <v>323</v>
      </c>
      <c r="O332" s="70">
        <v>63316.747500000019</v>
      </c>
      <c r="P332" s="75">
        <v>12709</v>
      </c>
      <c r="Q332" s="75">
        <v>85395</v>
      </c>
      <c r="R332" s="194">
        <v>341807.14750000002</v>
      </c>
      <c r="S332" s="194">
        <v>6269.75</v>
      </c>
      <c r="T332" s="70">
        <v>1556.8525000000006</v>
      </c>
      <c r="U332" s="80">
        <v>81753.173721494197</v>
      </c>
      <c r="V332" s="73"/>
      <c r="X332" s="30"/>
      <c r="Y332" s="54">
        <v>323</v>
      </c>
      <c r="Z332" s="70">
        <v>46295.650000000009</v>
      </c>
      <c r="AA332" s="75">
        <v>9463</v>
      </c>
      <c r="AB332" s="75">
        <v>6764.24</v>
      </c>
      <c r="AC332" s="75">
        <v>77788.759999999995</v>
      </c>
      <c r="AD332" s="194">
        <v>325743.95</v>
      </c>
      <c r="AE332" s="194">
        <v>7227.6500000000005</v>
      </c>
      <c r="AF332" s="76">
        <v>0.08</v>
      </c>
      <c r="AG332" s="70">
        <v>3312.0500000000006</v>
      </c>
      <c r="AH332" s="31"/>
    </row>
    <row r="333" spans="3:34" x14ac:dyDescent="0.25">
      <c r="C333" s="72"/>
      <c r="D333" s="54">
        <v>324</v>
      </c>
      <c r="E333" s="70">
        <v>30635.27</v>
      </c>
      <c r="F333" s="75">
        <v>5381</v>
      </c>
      <c r="G333" s="75">
        <v>84547</v>
      </c>
      <c r="H333" s="194">
        <v>314748</v>
      </c>
      <c r="I333" s="194">
        <v>11892.08</v>
      </c>
      <c r="J333" s="75">
        <v>81753.173721494197</v>
      </c>
      <c r="K333" s="73"/>
      <c r="M333" s="72"/>
      <c r="N333" s="54">
        <v>324</v>
      </c>
      <c r="O333" s="70">
        <v>63372.354999999981</v>
      </c>
      <c r="P333" s="75">
        <v>11942</v>
      </c>
      <c r="Q333" s="75">
        <v>86162</v>
      </c>
      <c r="R333" s="194">
        <v>341901.10499999998</v>
      </c>
      <c r="S333" s="194">
        <v>6308.1</v>
      </c>
      <c r="T333" s="70">
        <v>1462.8950000000007</v>
      </c>
      <c r="U333" s="80">
        <v>81753.173721494197</v>
      </c>
      <c r="V333" s="73"/>
      <c r="X333" s="30"/>
      <c r="Y333" s="54">
        <v>324</v>
      </c>
      <c r="Z333" s="70">
        <v>45144.55</v>
      </c>
      <c r="AA333" s="75">
        <v>13300</v>
      </c>
      <c r="AB333" s="75">
        <v>4842.96</v>
      </c>
      <c r="AC333" s="75">
        <v>75873.039999999994</v>
      </c>
      <c r="AD333" s="194">
        <v>324401</v>
      </c>
      <c r="AE333" s="194">
        <v>7035.8</v>
      </c>
      <c r="AF333" s="76">
        <v>0.06</v>
      </c>
      <c r="AG333" s="70">
        <v>4655.0000000000009</v>
      </c>
      <c r="AH333" s="31"/>
    </row>
    <row r="334" spans="3:34" x14ac:dyDescent="0.25">
      <c r="C334" s="72"/>
      <c r="D334" s="54">
        <v>325</v>
      </c>
      <c r="E334" s="70">
        <v>44493.59</v>
      </c>
      <c r="F334" s="75">
        <v>5578</v>
      </c>
      <c r="G334" s="75">
        <v>88438</v>
      </c>
      <c r="H334" s="194">
        <v>329056</v>
      </c>
      <c r="I334" s="194">
        <v>12341.76</v>
      </c>
      <c r="J334" s="75">
        <v>81753.173721494197</v>
      </c>
      <c r="K334" s="73"/>
      <c r="M334" s="72"/>
      <c r="N334" s="54">
        <v>325</v>
      </c>
      <c r="O334" s="70">
        <v>35056.114999999991</v>
      </c>
      <c r="P334" s="75">
        <v>13446</v>
      </c>
      <c r="Q334" s="75">
        <v>76482</v>
      </c>
      <c r="R334" s="194">
        <v>313100.86499999999</v>
      </c>
      <c r="S334" s="194">
        <v>5824.1</v>
      </c>
      <c r="T334" s="70">
        <v>1647.1350000000007</v>
      </c>
      <c r="U334" s="80">
        <v>81753.173721494197</v>
      </c>
      <c r="V334" s="73"/>
      <c r="X334" s="30"/>
      <c r="Y334" s="54">
        <v>325</v>
      </c>
      <c r="Z334" s="70">
        <v>44859.250000000022</v>
      </c>
      <c r="AA334" s="75">
        <v>14251</v>
      </c>
      <c r="AB334" s="75">
        <v>7976.5</v>
      </c>
      <c r="AC334" s="75">
        <v>71788.5</v>
      </c>
      <c r="AD334" s="194">
        <v>324068.15000000002</v>
      </c>
      <c r="AE334" s="194">
        <v>6988.25</v>
      </c>
      <c r="AF334" s="76">
        <v>0.1</v>
      </c>
      <c r="AG334" s="70">
        <v>4987.8500000000013</v>
      </c>
      <c r="AH334" s="31"/>
    </row>
    <row r="335" spans="3:34" x14ac:dyDescent="0.25">
      <c r="C335" s="72"/>
      <c r="D335" s="54">
        <v>326</v>
      </c>
      <c r="E335" s="70">
        <v>86065.16</v>
      </c>
      <c r="F335" s="75">
        <v>8522</v>
      </c>
      <c r="G335" s="75">
        <v>97757</v>
      </c>
      <c r="H335" s="194">
        <v>371976.5</v>
      </c>
      <c r="I335" s="194">
        <v>13690.69</v>
      </c>
      <c r="J335" s="75">
        <v>81753.173721494197</v>
      </c>
      <c r="K335" s="73"/>
      <c r="M335" s="72"/>
      <c r="N335" s="54">
        <v>326</v>
      </c>
      <c r="O335" s="70">
        <v>91440.892500000016</v>
      </c>
      <c r="P335" s="75">
        <v>13807</v>
      </c>
      <c r="Q335" s="75">
        <v>92472</v>
      </c>
      <c r="R335" s="194">
        <v>370285.14250000002</v>
      </c>
      <c r="S335" s="194">
        <v>6623.6</v>
      </c>
      <c r="T335" s="70">
        <v>1691.3575000000008</v>
      </c>
      <c r="U335" s="80">
        <v>81753.173721494197</v>
      </c>
      <c r="V335" s="73"/>
      <c r="X335" s="30"/>
      <c r="Y335" s="54">
        <v>326</v>
      </c>
      <c r="Z335" s="70">
        <v>59414.35000000002</v>
      </c>
      <c r="AA335" s="75">
        <v>12746</v>
      </c>
      <c r="AB335" s="75">
        <v>5121.4799999999996</v>
      </c>
      <c r="AC335" s="75">
        <v>80236.52</v>
      </c>
      <c r="AD335" s="194">
        <v>338902.9</v>
      </c>
      <c r="AE335" s="194">
        <v>7267.9000000000005</v>
      </c>
      <c r="AF335" s="76">
        <v>0.06</v>
      </c>
      <c r="AG335" s="70">
        <v>4461.1000000000013</v>
      </c>
      <c r="AH335" s="31"/>
    </row>
    <row r="336" spans="3:34" x14ac:dyDescent="0.25">
      <c r="C336" s="72"/>
      <c r="D336" s="54">
        <v>327</v>
      </c>
      <c r="E336" s="70">
        <v>86065.16</v>
      </c>
      <c r="F336" s="75">
        <v>10537</v>
      </c>
      <c r="G336" s="75">
        <v>95742</v>
      </c>
      <c r="H336" s="194">
        <v>371976.5</v>
      </c>
      <c r="I336" s="194">
        <v>13690.69</v>
      </c>
      <c r="J336" s="75">
        <v>81753.173721494197</v>
      </c>
      <c r="K336" s="73"/>
      <c r="M336" s="72"/>
      <c r="N336" s="54">
        <v>327</v>
      </c>
      <c r="O336" s="70">
        <v>63161.88749999999</v>
      </c>
      <c r="P336" s="75">
        <v>14845</v>
      </c>
      <c r="Q336" s="75">
        <v>83259</v>
      </c>
      <c r="R336" s="194">
        <v>341545.48749999999</v>
      </c>
      <c r="S336" s="194">
        <v>6162.95</v>
      </c>
      <c r="T336" s="70">
        <v>1818.5125000000007</v>
      </c>
      <c r="U336" s="80">
        <v>81753.173721494197</v>
      </c>
      <c r="V336" s="73"/>
      <c r="X336" s="30"/>
      <c r="Y336" s="54">
        <v>327</v>
      </c>
      <c r="Z336" s="70">
        <v>88243.60000000002</v>
      </c>
      <c r="AA336" s="75">
        <v>10661</v>
      </c>
      <c r="AB336" s="75">
        <v>7649.4400000000005</v>
      </c>
      <c r="AC336" s="75">
        <v>87968.56</v>
      </c>
      <c r="AD336" s="194">
        <v>368245.15</v>
      </c>
      <c r="AE336" s="194">
        <v>7780.9000000000005</v>
      </c>
      <c r="AF336" s="76">
        <v>0.08</v>
      </c>
      <c r="AG336" s="70">
        <v>3731.3500000000008</v>
      </c>
      <c r="AH336" s="31"/>
    </row>
    <row r="337" spans="3:34" x14ac:dyDescent="0.25">
      <c r="C337" s="72"/>
      <c r="D337" s="54">
        <v>328</v>
      </c>
      <c r="E337" s="70">
        <v>58351.91</v>
      </c>
      <c r="F337" s="75">
        <v>6866</v>
      </c>
      <c r="G337" s="75">
        <v>91238</v>
      </c>
      <c r="H337" s="194">
        <v>343364</v>
      </c>
      <c r="I337" s="194">
        <v>12791.44</v>
      </c>
      <c r="J337" s="75">
        <v>81753.173721494197</v>
      </c>
      <c r="K337" s="73"/>
      <c r="M337" s="72"/>
      <c r="N337" s="54">
        <v>328</v>
      </c>
      <c r="O337" s="70">
        <v>49455.58749999998</v>
      </c>
      <c r="P337" s="75">
        <v>9365</v>
      </c>
      <c r="Q337" s="75">
        <v>84651</v>
      </c>
      <c r="R337" s="194">
        <v>327908.78749999998</v>
      </c>
      <c r="S337" s="194">
        <v>6232.55</v>
      </c>
      <c r="T337" s="70">
        <v>1147.2125000000005</v>
      </c>
      <c r="U337" s="80">
        <v>81753.173721494197</v>
      </c>
      <c r="V337" s="73"/>
      <c r="X337" s="30"/>
      <c r="Y337" s="54">
        <v>328</v>
      </c>
      <c r="Z337" s="70">
        <v>46042.750000000022</v>
      </c>
      <c r="AA337" s="75">
        <v>10306</v>
      </c>
      <c r="AB337" s="75">
        <v>7533.9</v>
      </c>
      <c r="AC337" s="75">
        <v>76176.100000000006</v>
      </c>
      <c r="AD337" s="194">
        <v>325448.90000000002</v>
      </c>
      <c r="AE337" s="194">
        <v>7185.5</v>
      </c>
      <c r="AF337" s="76">
        <v>0.09</v>
      </c>
      <c r="AG337" s="70">
        <v>3607.1000000000008</v>
      </c>
      <c r="AH337" s="31"/>
    </row>
    <row r="338" spans="3:34" x14ac:dyDescent="0.25">
      <c r="C338" s="72"/>
      <c r="D338" s="54">
        <v>329</v>
      </c>
      <c r="E338" s="70">
        <v>44493.59</v>
      </c>
      <c r="F338" s="75">
        <v>7451</v>
      </c>
      <c r="G338" s="75">
        <v>86565</v>
      </c>
      <c r="H338" s="194">
        <v>329056</v>
      </c>
      <c r="I338" s="194">
        <v>12341.76</v>
      </c>
      <c r="J338" s="75">
        <v>81753.173721494197</v>
      </c>
      <c r="K338" s="73"/>
      <c r="M338" s="72"/>
      <c r="N338" s="54">
        <v>329</v>
      </c>
      <c r="O338" s="70">
        <v>63515.179999999993</v>
      </c>
      <c r="P338" s="75">
        <v>9972</v>
      </c>
      <c r="Q338" s="75">
        <v>88132</v>
      </c>
      <c r="R338" s="194">
        <v>342142.43</v>
      </c>
      <c r="S338" s="194">
        <v>6406.6</v>
      </c>
      <c r="T338" s="70">
        <v>1221.5700000000006</v>
      </c>
      <c r="U338" s="80">
        <v>81753.173721494197</v>
      </c>
      <c r="V338" s="73"/>
      <c r="X338" s="30"/>
      <c r="Y338" s="54">
        <v>329</v>
      </c>
      <c r="Z338" s="70">
        <v>87295.60000000002</v>
      </c>
      <c r="AA338" s="75">
        <v>13821</v>
      </c>
      <c r="AB338" s="75">
        <v>7396.64</v>
      </c>
      <c r="AC338" s="75">
        <v>85061.36</v>
      </c>
      <c r="AD338" s="194">
        <v>367139.15</v>
      </c>
      <c r="AE338" s="194">
        <v>7622.9000000000005</v>
      </c>
      <c r="AF338" s="76">
        <v>0.08</v>
      </c>
      <c r="AG338" s="70">
        <v>4837.3500000000013</v>
      </c>
      <c r="AH338" s="31"/>
    </row>
    <row r="339" spans="3:34" x14ac:dyDescent="0.25">
      <c r="C339" s="72"/>
      <c r="D339" s="54">
        <v>330</v>
      </c>
      <c r="E339" s="70">
        <v>44493.59</v>
      </c>
      <c r="F339" s="75">
        <v>7560</v>
      </c>
      <c r="G339" s="75">
        <v>86456</v>
      </c>
      <c r="H339" s="194">
        <v>329056</v>
      </c>
      <c r="I339" s="194">
        <v>12341.76</v>
      </c>
      <c r="J339" s="75">
        <v>81753.173721494197</v>
      </c>
      <c r="K339" s="73"/>
      <c r="M339" s="72"/>
      <c r="N339" s="54">
        <v>330</v>
      </c>
      <c r="O339" s="70">
        <v>49466.897500000021</v>
      </c>
      <c r="P339" s="75">
        <v>9209</v>
      </c>
      <c r="Q339" s="75">
        <v>84807</v>
      </c>
      <c r="R339" s="194">
        <v>327927.89750000002</v>
      </c>
      <c r="S339" s="194">
        <v>6240.35</v>
      </c>
      <c r="T339" s="70">
        <v>1128.1025000000004</v>
      </c>
      <c r="U339" s="80">
        <v>81753.173721494197</v>
      </c>
      <c r="V339" s="73"/>
      <c r="X339" s="30"/>
      <c r="Y339" s="54">
        <v>330</v>
      </c>
      <c r="Z339" s="70">
        <v>46361.349999999977</v>
      </c>
      <c r="AA339" s="75">
        <v>9244</v>
      </c>
      <c r="AB339" s="75">
        <v>5086.32</v>
      </c>
      <c r="AC339" s="75">
        <v>79685.679999999993</v>
      </c>
      <c r="AD339" s="194">
        <v>325820.59999999998</v>
      </c>
      <c r="AE339" s="194">
        <v>7238.6</v>
      </c>
      <c r="AF339" s="76">
        <v>0.06</v>
      </c>
      <c r="AG339" s="70">
        <v>3235.400000000001</v>
      </c>
      <c r="AH339" s="31"/>
    </row>
    <row r="340" spans="3:34" x14ac:dyDescent="0.25">
      <c r="C340" s="72"/>
      <c r="D340" s="54">
        <v>331</v>
      </c>
      <c r="E340" s="70">
        <v>58351.91</v>
      </c>
      <c r="F340" s="75">
        <v>6824</v>
      </c>
      <c r="G340" s="75">
        <v>91280</v>
      </c>
      <c r="H340" s="194">
        <v>343364</v>
      </c>
      <c r="I340" s="194">
        <v>12791.44</v>
      </c>
      <c r="J340" s="75">
        <v>81753.173721494197</v>
      </c>
      <c r="K340" s="73"/>
      <c r="M340" s="72"/>
      <c r="N340" s="54">
        <v>331</v>
      </c>
      <c r="O340" s="70">
        <v>63433.327499999999</v>
      </c>
      <c r="P340" s="75">
        <v>11101</v>
      </c>
      <c r="Q340" s="75">
        <v>87003</v>
      </c>
      <c r="R340" s="194">
        <v>342004.1275</v>
      </c>
      <c r="S340" s="194">
        <v>6350.1500000000005</v>
      </c>
      <c r="T340" s="70">
        <v>1359.8725000000006</v>
      </c>
      <c r="U340" s="80">
        <v>81753.173721494197</v>
      </c>
      <c r="V340" s="73"/>
      <c r="X340" s="30"/>
      <c r="Y340" s="54">
        <v>331</v>
      </c>
      <c r="Z340" s="70">
        <v>45739.750000000022</v>
      </c>
      <c r="AA340" s="75">
        <v>11316</v>
      </c>
      <c r="AB340" s="75">
        <v>6616</v>
      </c>
      <c r="AC340" s="75">
        <v>76084</v>
      </c>
      <c r="AD340" s="194">
        <v>325095.40000000002</v>
      </c>
      <c r="AE340" s="194">
        <v>7135</v>
      </c>
      <c r="AF340" s="76">
        <v>0.08</v>
      </c>
      <c r="AG340" s="70">
        <v>3960.6000000000008</v>
      </c>
      <c r="AH340" s="31"/>
    </row>
    <row r="341" spans="3:34" x14ac:dyDescent="0.25">
      <c r="C341" s="72"/>
      <c r="D341" s="54">
        <v>332</v>
      </c>
      <c r="E341" s="70">
        <v>44493.59</v>
      </c>
      <c r="F341" s="75">
        <v>9555</v>
      </c>
      <c r="G341" s="75">
        <v>84461</v>
      </c>
      <c r="H341" s="194">
        <v>329056</v>
      </c>
      <c r="I341" s="194">
        <v>12341.76</v>
      </c>
      <c r="J341" s="75">
        <v>81753.173721494197</v>
      </c>
      <c r="K341" s="73"/>
      <c r="M341" s="72"/>
      <c r="N341" s="54">
        <v>332</v>
      </c>
      <c r="O341" s="70">
        <v>49312.472499999974</v>
      </c>
      <c r="P341" s="75">
        <v>11339</v>
      </c>
      <c r="Q341" s="75">
        <v>82677</v>
      </c>
      <c r="R341" s="194">
        <v>327666.97249999997</v>
      </c>
      <c r="S341" s="194">
        <v>6133.85</v>
      </c>
      <c r="T341" s="70">
        <v>1389.0275000000006</v>
      </c>
      <c r="U341" s="80">
        <v>81753.173721494197</v>
      </c>
      <c r="V341" s="73"/>
      <c r="X341" s="30"/>
      <c r="Y341" s="54">
        <v>332</v>
      </c>
      <c r="Z341" s="70">
        <v>59990.65</v>
      </c>
      <c r="AA341" s="75">
        <v>10825</v>
      </c>
      <c r="AB341" s="75">
        <v>6982.32</v>
      </c>
      <c r="AC341" s="75">
        <v>80296.679999999993</v>
      </c>
      <c r="AD341" s="194">
        <v>339575.25</v>
      </c>
      <c r="AE341" s="194">
        <v>7363.95</v>
      </c>
      <c r="AF341" s="76">
        <v>0.08</v>
      </c>
      <c r="AG341" s="70">
        <v>3788.7500000000009</v>
      </c>
      <c r="AH341" s="31"/>
    </row>
    <row r="342" spans="3:34" x14ac:dyDescent="0.25">
      <c r="C342" s="72"/>
      <c r="D342" s="54">
        <v>333</v>
      </c>
      <c r="E342" s="70">
        <v>30635.27</v>
      </c>
      <c r="F342" s="75">
        <v>7380</v>
      </c>
      <c r="G342" s="75">
        <v>82548</v>
      </c>
      <c r="H342" s="194">
        <v>314748</v>
      </c>
      <c r="I342" s="194">
        <v>11892.08</v>
      </c>
      <c r="J342" s="75">
        <v>81753.173721494197</v>
      </c>
      <c r="K342" s="73"/>
      <c r="M342" s="72"/>
      <c r="N342" s="54">
        <v>333</v>
      </c>
      <c r="O342" s="70">
        <v>91444.735000000015</v>
      </c>
      <c r="P342" s="75">
        <v>13754</v>
      </c>
      <c r="Q342" s="75">
        <v>92525</v>
      </c>
      <c r="R342" s="194">
        <v>370291.63500000001</v>
      </c>
      <c r="S342" s="194">
        <v>6626.25</v>
      </c>
      <c r="T342" s="70">
        <v>1684.8650000000007</v>
      </c>
      <c r="U342" s="80">
        <v>81753.173721494197</v>
      </c>
      <c r="V342" s="73"/>
      <c r="X342" s="30"/>
      <c r="Y342" s="54">
        <v>333</v>
      </c>
      <c r="Z342" s="70">
        <v>31824.249999999978</v>
      </c>
      <c r="AA342" s="75">
        <v>10689</v>
      </c>
      <c r="AB342" s="75">
        <v>6339.12</v>
      </c>
      <c r="AC342" s="75">
        <v>72899.88</v>
      </c>
      <c r="AD342" s="194">
        <v>311006.84999999998</v>
      </c>
      <c r="AE342" s="194">
        <v>6961.9500000000007</v>
      </c>
      <c r="AF342" s="76">
        <v>0.08</v>
      </c>
      <c r="AG342" s="70">
        <v>3741.150000000001</v>
      </c>
      <c r="AH342" s="31"/>
    </row>
    <row r="343" spans="3:34" x14ac:dyDescent="0.25">
      <c r="C343" s="72"/>
      <c r="D343" s="54">
        <v>334</v>
      </c>
      <c r="E343" s="70">
        <v>86065.16</v>
      </c>
      <c r="F343" s="75">
        <v>6371</v>
      </c>
      <c r="G343" s="75">
        <v>99908</v>
      </c>
      <c r="H343" s="194">
        <v>371976.5</v>
      </c>
      <c r="I343" s="194">
        <v>13690.69</v>
      </c>
      <c r="J343" s="75">
        <v>81753.173721494197</v>
      </c>
      <c r="K343" s="73"/>
      <c r="M343" s="72"/>
      <c r="N343" s="54">
        <v>334</v>
      </c>
      <c r="O343" s="70">
        <v>49382.942499999983</v>
      </c>
      <c r="P343" s="75">
        <v>10367</v>
      </c>
      <c r="Q343" s="75">
        <v>83649</v>
      </c>
      <c r="R343" s="194">
        <v>327786.04249999998</v>
      </c>
      <c r="S343" s="194">
        <v>6182.45</v>
      </c>
      <c r="T343" s="70">
        <v>1269.9575000000007</v>
      </c>
      <c r="U343" s="80">
        <v>81753.173721494197</v>
      </c>
      <c r="V343" s="73"/>
      <c r="X343" s="30"/>
      <c r="Y343" s="54">
        <v>334</v>
      </c>
      <c r="Z343" s="70">
        <v>31800.55000000001</v>
      </c>
      <c r="AA343" s="75">
        <v>10768</v>
      </c>
      <c r="AB343" s="75">
        <v>4749.5999999999995</v>
      </c>
      <c r="AC343" s="75">
        <v>74410.399999999994</v>
      </c>
      <c r="AD343" s="194">
        <v>310979.20000000001</v>
      </c>
      <c r="AE343" s="194">
        <v>6958</v>
      </c>
      <c r="AF343" s="76">
        <v>0.06</v>
      </c>
      <c r="AG343" s="70">
        <v>3768.8000000000011</v>
      </c>
      <c r="AH343" s="31"/>
    </row>
    <row r="344" spans="3:34" x14ac:dyDescent="0.25">
      <c r="C344" s="72"/>
      <c r="D344" s="54">
        <v>335</v>
      </c>
      <c r="E344" s="70">
        <v>30635.27</v>
      </c>
      <c r="F344" s="75">
        <v>5435</v>
      </c>
      <c r="G344" s="75">
        <v>84493</v>
      </c>
      <c r="H344" s="194">
        <v>314748</v>
      </c>
      <c r="I344" s="194">
        <v>11892.08</v>
      </c>
      <c r="J344" s="75">
        <v>81753.173721494197</v>
      </c>
      <c r="K344" s="73"/>
      <c r="M344" s="72"/>
      <c r="N344" s="54">
        <v>335</v>
      </c>
      <c r="O344" s="70">
        <v>35126.802499999991</v>
      </c>
      <c r="P344" s="75">
        <v>12471</v>
      </c>
      <c r="Q344" s="75">
        <v>77457</v>
      </c>
      <c r="R344" s="194">
        <v>313220.30249999999</v>
      </c>
      <c r="S344" s="194">
        <v>5872.85</v>
      </c>
      <c r="T344" s="70">
        <v>1527.6975000000007</v>
      </c>
      <c r="U344" s="80">
        <v>81753.173721494197</v>
      </c>
      <c r="V344" s="73"/>
      <c r="X344" s="30"/>
      <c r="Y344" s="54">
        <v>335</v>
      </c>
      <c r="Z344" s="70">
        <v>30980.349999999988</v>
      </c>
      <c r="AA344" s="75">
        <v>13502</v>
      </c>
      <c r="AB344" s="75">
        <v>5349.8200000000006</v>
      </c>
      <c r="AC344" s="75">
        <v>71076.179999999993</v>
      </c>
      <c r="AD344" s="194">
        <v>310022.3</v>
      </c>
      <c r="AE344" s="194">
        <v>6821.3</v>
      </c>
      <c r="AF344" s="76">
        <v>7.0000000000000007E-2</v>
      </c>
      <c r="AG344" s="70">
        <v>4725.7000000000016</v>
      </c>
      <c r="AH344" s="31"/>
    </row>
    <row r="345" spans="3:34" x14ac:dyDescent="0.25">
      <c r="C345" s="72"/>
      <c r="D345" s="54">
        <v>336</v>
      </c>
      <c r="E345" s="70">
        <v>30635.27</v>
      </c>
      <c r="F345" s="75">
        <v>7135</v>
      </c>
      <c r="G345" s="75">
        <v>82793</v>
      </c>
      <c r="H345" s="194">
        <v>314748</v>
      </c>
      <c r="I345" s="194">
        <v>11892.08</v>
      </c>
      <c r="J345" s="75">
        <v>81753.173721494197</v>
      </c>
      <c r="K345" s="73"/>
      <c r="M345" s="72"/>
      <c r="N345" s="54">
        <v>336</v>
      </c>
      <c r="O345" s="70">
        <v>63182.695000000022</v>
      </c>
      <c r="P345" s="75">
        <v>14558</v>
      </c>
      <c r="Q345" s="75">
        <v>83546</v>
      </c>
      <c r="R345" s="194">
        <v>341580.64500000002</v>
      </c>
      <c r="S345" s="194">
        <v>6177.3</v>
      </c>
      <c r="T345" s="70">
        <v>1783.3550000000007</v>
      </c>
      <c r="U345" s="80">
        <v>81753.173721494197</v>
      </c>
      <c r="V345" s="73"/>
      <c r="X345" s="30"/>
      <c r="Y345" s="54">
        <v>336</v>
      </c>
      <c r="Z345" s="70">
        <v>45791.650000000009</v>
      </c>
      <c r="AA345" s="75">
        <v>11143</v>
      </c>
      <c r="AB345" s="75">
        <v>8287.3000000000011</v>
      </c>
      <c r="AC345" s="75">
        <v>74585.7</v>
      </c>
      <c r="AD345" s="194">
        <v>325155.95</v>
      </c>
      <c r="AE345" s="194">
        <v>7143.6500000000005</v>
      </c>
      <c r="AF345" s="76">
        <v>0.1</v>
      </c>
      <c r="AG345" s="70">
        <v>3900.0500000000011</v>
      </c>
      <c r="AH345" s="31"/>
    </row>
    <row r="346" spans="3:34" x14ac:dyDescent="0.25">
      <c r="C346" s="72"/>
      <c r="D346" s="54">
        <v>337</v>
      </c>
      <c r="E346" s="70">
        <v>44493.59</v>
      </c>
      <c r="F346" s="75">
        <v>9453</v>
      </c>
      <c r="G346" s="75">
        <v>84563</v>
      </c>
      <c r="H346" s="194">
        <v>329056</v>
      </c>
      <c r="I346" s="194">
        <v>12341.76</v>
      </c>
      <c r="J346" s="75">
        <v>81753.173721494197</v>
      </c>
      <c r="K346" s="73"/>
      <c r="M346" s="72"/>
      <c r="N346" s="54">
        <v>337</v>
      </c>
      <c r="O346" s="70">
        <v>35118.827500000014</v>
      </c>
      <c r="P346" s="75">
        <v>12581</v>
      </c>
      <c r="Q346" s="75">
        <v>77347</v>
      </c>
      <c r="R346" s="194">
        <v>313206.82750000001</v>
      </c>
      <c r="S346" s="194">
        <v>5867.35</v>
      </c>
      <c r="T346" s="70">
        <v>1541.1725000000006</v>
      </c>
      <c r="U346" s="80">
        <v>81753.173721494197</v>
      </c>
      <c r="V346" s="73"/>
      <c r="X346" s="30"/>
      <c r="Y346" s="54">
        <v>337</v>
      </c>
      <c r="Z346" s="70">
        <v>32084.05000000001</v>
      </c>
      <c r="AA346" s="75">
        <v>9823</v>
      </c>
      <c r="AB346" s="75">
        <v>5607.35</v>
      </c>
      <c r="AC346" s="75">
        <v>74497.649999999994</v>
      </c>
      <c r="AD346" s="194">
        <v>311309.95</v>
      </c>
      <c r="AE346" s="194">
        <v>7005.25</v>
      </c>
      <c r="AF346" s="76">
        <v>7.0000000000000007E-2</v>
      </c>
      <c r="AG346" s="70">
        <v>3438.0500000000011</v>
      </c>
      <c r="AH346" s="31"/>
    </row>
    <row r="347" spans="3:34" x14ac:dyDescent="0.25">
      <c r="C347" s="72"/>
      <c r="D347" s="54">
        <v>338</v>
      </c>
      <c r="E347" s="70">
        <v>44493.59</v>
      </c>
      <c r="F347" s="75">
        <v>7629</v>
      </c>
      <c r="G347" s="75">
        <v>86387</v>
      </c>
      <c r="H347" s="194">
        <v>329056</v>
      </c>
      <c r="I347" s="194">
        <v>12341.76</v>
      </c>
      <c r="J347" s="75">
        <v>81753.173721494197</v>
      </c>
      <c r="K347" s="73"/>
      <c r="M347" s="72"/>
      <c r="N347" s="54">
        <v>338</v>
      </c>
      <c r="O347" s="70">
        <v>63456.962500000001</v>
      </c>
      <c r="P347" s="75">
        <v>10775</v>
      </c>
      <c r="Q347" s="75">
        <v>87329</v>
      </c>
      <c r="R347" s="194">
        <v>342044.0625</v>
      </c>
      <c r="S347" s="194">
        <v>6366.45</v>
      </c>
      <c r="T347" s="70">
        <v>1319.9375000000007</v>
      </c>
      <c r="U347" s="80">
        <v>81753.173721494197</v>
      </c>
      <c r="V347" s="73"/>
      <c r="X347" s="30"/>
      <c r="Y347" s="54">
        <v>338</v>
      </c>
      <c r="Z347" s="70">
        <v>44917.750000000022</v>
      </c>
      <c r="AA347" s="75">
        <v>14056</v>
      </c>
      <c r="AB347" s="75">
        <v>5597.2000000000007</v>
      </c>
      <c r="AC347" s="75">
        <v>74362.8</v>
      </c>
      <c r="AD347" s="194">
        <v>324136.40000000002</v>
      </c>
      <c r="AE347" s="194">
        <v>6998</v>
      </c>
      <c r="AF347" s="76">
        <v>7.0000000000000007E-2</v>
      </c>
      <c r="AG347" s="70">
        <v>4919.6000000000013</v>
      </c>
      <c r="AH347" s="31"/>
    </row>
    <row r="348" spans="3:34" x14ac:dyDescent="0.25">
      <c r="C348" s="72"/>
      <c r="D348" s="54">
        <v>339</v>
      </c>
      <c r="E348" s="70">
        <v>58351.91</v>
      </c>
      <c r="F348" s="75">
        <v>5931</v>
      </c>
      <c r="G348" s="75">
        <v>92173</v>
      </c>
      <c r="H348" s="194">
        <v>343364</v>
      </c>
      <c r="I348" s="194">
        <v>12791.44</v>
      </c>
      <c r="J348" s="75">
        <v>81753.173721494197</v>
      </c>
      <c r="K348" s="73"/>
      <c r="M348" s="72"/>
      <c r="N348" s="54">
        <v>339</v>
      </c>
      <c r="O348" s="70">
        <v>49322.622499999998</v>
      </c>
      <c r="P348" s="75">
        <v>11199</v>
      </c>
      <c r="Q348" s="75">
        <v>82817</v>
      </c>
      <c r="R348" s="194">
        <v>327684.1225</v>
      </c>
      <c r="S348" s="194">
        <v>6140.85</v>
      </c>
      <c r="T348" s="70">
        <v>1371.8775000000005</v>
      </c>
      <c r="U348" s="80">
        <v>81753.173721494197</v>
      </c>
      <c r="V348" s="73"/>
      <c r="X348" s="30"/>
      <c r="Y348" s="54">
        <v>339</v>
      </c>
      <c r="Z348" s="70">
        <v>88267.299999999988</v>
      </c>
      <c r="AA348" s="75">
        <v>10582</v>
      </c>
      <c r="AB348" s="75">
        <v>8612.73</v>
      </c>
      <c r="AC348" s="75">
        <v>87084.27</v>
      </c>
      <c r="AD348" s="194">
        <v>368272.8</v>
      </c>
      <c r="AE348" s="194">
        <v>7784.85</v>
      </c>
      <c r="AF348" s="76">
        <v>0.09</v>
      </c>
      <c r="AG348" s="70">
        <v>3703.7000000000007</v>
      </c>
      <c r="AH348" s="31"/>
    </row>
    <row r="349" spans="3:34" x14ac:dyDescent="0.25">
      <c r="C349" s="72"/>
      <c r="D349" s="54">
        <v>340</v>
      </c>
      <c r="E349" s="70">
        <v>44493.59</v>
      </c>
      <c r="F349" s="75">
        <v>5599</v>
      </c>
      <c r="G349" s="75">
        <v>88417</v>
      </c>
      <c r="H349" s="194">
        <v>329056</v>
      </c>
      <c r="I349" s="194">
        <v>12341.76</v>
      </c>
      <c r="J349" s="75">
        <v>81753.173721494197</v>
      </c>
      <c r="K349" s="73"/>
      <c r="M349" s="72"/>
      <c r="N349" s="54">
        <v>340</v>
      </c>
      <c r="O349" s="70">
        <v>49109.762500000026</v>
      </c>
      <c r="P349" s="75">
        <v>14135</v>
      </c>
      <c r="Q349" s="75">
        <v>79881</v>
      </c>
      <c r="R349" s="194">
        <v>327324.46250000002</v>
      </c>
      <c r="S349" s="194">
        <v>5994.05</v>
      </c>
      <c r="T349" s="70">
        <v>1731.5375000000008</v>
      </c>
      <c r="U349" s="80">
        <v>81753.173721494197</v>
      </c>
      <c r="V349" s="73"/>
      <c r="X349" s="30"/>
      <c r="Y349" s="54">
        <v>340</v>
      </c>
      <c r="Z349" s="70">
        <v>59682.250000000015</v>
      </c>
      <c r="AA349" s="75">
        <v>11853</v>
      </c>
      <c r="AB349" s="75">
        <v>5175.0599999999995</v>
      </c>
      <c r="AC349" s="75">
        <v>81075.94</v>
      </c>
      <c r="AD349" s="194">
        <v>339215.45</v>
      </c>
      <c r="AE349" s="194">
        <v>7312.55</v>
      </c>
      <c r="AF349" s="76">
        <v>0.06</v>
      </c>
      <c r="AG349" s="70">
        <v>4148.5500000000011</v>
      </c>
      <c r="AH349" s="31"/>
    </row>
    <row r="350" spans="3:34" x14ac:dyDescent="0.25">
      <c r="C350" s="72"/>
      <c r="D350" s="54">
        <v>341</v>
      </c>
      <c r="E350" s="70">
        <v>30635.27</v>
      </c>
      <c r="F350" s="75">
        <v>8970</v>
      </c>
      <c r="G350" s="75">
        <v>80958</v>
      </c>
      <c r="H350" s="194">
        <v>314748</v>
      </c>
      <c r="I350" s="194">
        <v>11892.08</v>
      </c>
      <c r="J350" s="75">
        <v>81753.173721494197</v>
      </c>
      <c r="K350" s="73"/>
      <c r="M350" s="72"/>
      <c r="N350" s="54">
        <v>341</v>
      </c>
      <c r="O350" s="70">
        <v>63253.237500000025</v>
      </c>
      <c r="P350" s="75">
        <v>13585</v>
      </c>
      <c r="Q350" s="75">
        <v>84519</v>
      </c>
      <c r="R350" s="194">
        <v>341699.83750000002</v>
      </c>
      <c r="S350" s="194">
        <v>6225.95</v>
      </c>
      <c r="T350" s="70">
        <v>1664.1625000000008</v>
      </c>
      <c r="U350" s="80">
        <v>81753.173721494197</v>
      </c>
      <c r="V350" s="73"/>
      <c r="X350" s="30"/>
      <c r="Y350" s="54">
        <v>341</v>
      </c>
      <c r="Z350" s="70">
        <v>30953.349999999988</v>
      </c>
      <c r="AA350" s="75">
        <v>13592</v>
      </c>
      <c r="AB350" s="75">
        <v>6870.24</v>
      </c>
      <c r="AC350" s="75">
        <v>69465.759999999995</v>
      </c>
      <c r="AD350" s="194">
        <v>309990.8</v>
      </c>
      <c r="AE350" s="194">
        <v>6816.8</v>
      </c>
      <c r="AF350" s="76">
        <v>0.09</v>
      </c>
      <c r="AG350" s="70">
        <v>4757.2000000000016</v>
      </c>
      <c r="AH350" s="31"/>
    </row>
    <row r="351" spans="3:34" x14ac:dyDescent="0.25">
      <c r="C351" s="72"/>
      <c r="D351" s="54">
        <v>342</v>
      </c>
      <c r="E351" s="70">
        <v>44493.59</v>
      </c>
      <c r="F351" s="75">
        <v>4827</v>
      </c>
      <c r="G351" s="75">
        <v>89189</v>
      </c>
      <c r="H351" s="194">
        <v>329056</v>
      </c>
      <c r="I351" s="194">
        <v>12341.76</v>
      </c>
      <c r="J351" s="75">
        <v>81753.173721494197</v>
      </c>
      <c r="K351" s="73"/>
      <c r="M351" s="72"/>
      <c r="N351" s="54">
        <v>342</v>
      </c>
      <c r="O351" s="70">
        <v>35065.394999999982</v>
      </c>
      <c r="P351" s="75">
        <v>13318</v>
      </c>
      <c r="Q351" s="75">
        <v>76610</v>
      </c>
      <c r="R351" s="194">
        <v>313116.54499999998</v>
      </c>
      <c r="S351" s="194">
        <v>5830.5</v>
      </c>
      <c r="T351" s="70">
        <v>1631.4550000000006</v>
      </c>
      <c r="U351" s="80">
        <v>81753.173721494197</v>
      </c>
      <c r="V351" s="73"/>
      <c r="X351" s="30"/>
      <c r="Y351" s="54">
        <v>342</v>
      </c>
      <c r="Z351" s="70">
        <v>45482.05</v>
      </c>
      <c r="AA351" s="75">
        <v>12175</v>
      </c>
      <c r="AB351" s="75">
        <v>4910.46</v>
      </c>
      <c r="AC351" s="75">
        <v>76930.539999999994</v>
      </c>
      <c r="AD351" s="194">
        <v>324794.75</v>
      </c>
      <c r="AE351" s="194">
        <v>7092.05</v>
      </c>
      <c r="AF351" s="76">
        <v>0.06</v>
      </c>
      <c r="AG351" s="70">
        <v>4261.2500000000009</v>
      </c>
      <c r="AH351" s="31"/>
    </row>
    <row r="352" spans="3:34" x14ac:dyDescent="0.25">
      <c r="C352" s="72"/>
      <c r="D352" s="54">
        <v>343</v>
      </c>
      <c r="E352" s="70">
        <v>30635.27</v>
      </c>
      <c r="F352" s="75">
        <v>8155</v>
      </c>
      <c r="G352" s="75">
        <v>81773</v>
      </c>
      <c r="H352" s="194">
        <v>314748</v>
      </c>
      <c r="I352" s="194">
        <v>11892.08</v>
      </c>
      <c r="J352" s="75">
        <v>81753.173721494197</v>
      </c>
      <c r="K352" s="73"/>
      <c r="M352" s="72"/>
      <c r="N352" s="54">
        <v>343</v>
      </c>
      <c r="O352" s="70">
        <v>49387.8</v>
      </c>
      <c r="P352" s="75">
        <v>10300</v>
      </c>
      <c r="Q352" s="75">
        <v>83716</v>
      </c>
      <c r="R352" s="194">
        <v>327794.25</v>
      </c>
      <c r="S352" s="194">
        <v>6185.8</v>
      </c>
      <c r="T352" s="70">
        <v>1261.7500000000005</v>
      </c>
      <c r="U352" s="80">
        <v>81753.173721494197</v>
      </c>
      <c r="V352" s="73"/>
      <c r="X352" s="30"/>
      <c r="Y352" s="54">
        <v>343</v>
      </c>
      <c r="Z352" s="70">
        <v>31822.749999999978</v>
      </c>
      <c r="AA352" s="75">
        <v>10694</v>
      </c>
      <c r="AB352" s="75">
        <v>4754.04</v>
      </c>
      <c r="AC352" s="75">
        <v>74479.960000000006</v>
      </c>
      <c r="AD352" s="194">
        <v>311005.09999999998</v>
      </c>
      <c r="AE352" s="194">
        <v>6961.7000000000007</v>
      </c>
      <c r="AF352" s="76">
        <v>0.06</v>
      </c>
      <c r="AG352" s="70">
        <v>3742.900000000001</v>
      </c>
      <c r="AH352" s="31"/>
    </row>
    <row r="353" spans="3:34" x14ac:dyDescent="0.25">
      <c r="C353" s="72"/>
      <c r="D353" s="54">
        <v>344</v>
      </c>
      <c r="E353" s="70">
        <v>44493.59</v>
      </c>
      <c r="F353" s="75">
        <v>6596</v>
      </c>
      <c r="G353" s="75">
        <v>87420</v>
      </c>
      <c r="H353" s="194">
        <v>329056</v>
      </c>
      <c r="I353" s="194">
        <v>12341.76</v>
      </c>
      <c r="J353" s="75">
        <v>81753.173721494197</v>
      </c>
      <c r="K353" s="73"/>
      <c r="M353" s="72"/>
      <c r="N353" s="54">
        <v>344</v>
      </c>
      <c r="O353" s="70">
        <v>49245.264999999978</v>
      </c>
      <c r="P353" s="75">
        <v>12266</v>
      </c>
      <c r="Q353" s="75">
        <v>81750</v>
      </c>
      <c r="R353" s="194">
        <v>327553.41499999998</v>
      </c>
      <c r="S353" s="194">
        <v>6087.5</v>
      </c>
      <c r="T353" s="70">
        <v>1502.5850000000007</v>
      </c>
      <c r="U353" s="80">
        <v>81753.173721494197</v>
      </c>
      <c r="V353" s="73"/>
      <c r="X353" s="30"/>
      <c r="Y353" s="54">
        <v>344</v>
      </c>
      <c r="Z353" s="70">
        <v>46260.849999999977</v>
      </c>
      <c r="AA353" s="75">
        <v>9579</v>
      </c>
      <c r="AB353" s="75">
        <v>4221.8500000000004</v>
      </c>
      <c r="AC353" s="75">
        <v>80215.149999999994</v>
      </c>
      <c r="AD353" s="194">
        <v>325703.34999999998</v>
      </c>
      <c r="AE353" s="194">
        <v>7221.85</v>
      </c>
      <c r="AF353" s="76">
        <v>0.05</v>
      </c>
      <c r="AG353" s="70">
        <v>3352.650000000001</v>
      </c>
      <c r="AH353" s="31"/>
    </row>
    <row r="354" spans="3:34" x14ac:dyDescent="0.25">
      <c r="C354" s="72"/>
      <c r="D354" s="54">
        <v>345</v>
      </c>
      <c r="E354" s="70">
        <v>30635.27</v>
      </c>
      <c r="F354" s="75">
        <v>8978</v>
      </c>
      <c r="G354" s="75">
        <v>80950</v>
      </c>
      <c r="H354" s="194">
        <v>314748</v>
      </c>
      <c r="I354" s="194">
        <v>11892.08</v>
      </c>
      <c r="J354" s="75">
        <v>81753.173721494197</v>
      </c>
      <c r="K354" s="73"/>
      <c r="M354" s="72"/>
      <c r="N354" s="54">
        <v>345</v>
      </c>
      <c r="O354" s="70">
        <v>63377.14</v>
      </c>
      <c r="P354" s="75">
        <v>11876</v>
      </c>
      <c r="Q354" s="75">
        <v>86228</v>
      </c>
      <c r="R354" s="194">
        <v>341909.19</v>
      </c>
      <c r="S354" s="194">
        <v>6311.4000000000005</v>
      </c>
      <c r="T354" s="70">
        <v>1454.8100000000006</v>
      </c>
      <c r="U354" s="80">
        <v>81753.173721494197</v>
      </c>
      <c r="V354" s="73"/>
      <c r="X354" s="30"/>
      <c r="Y354" s="54">
        <v>345</v>
      </c>
      <c r="Z354" s="70">
        <v>30973.150000000023</v>
      </c>
      <c r="AA354" s="75">
        <v>13526</v>
      </c>
      <c r="AB354" s="75">
        <v>6112.16</v>
      </c>
      <c r="AC354" s="75">
        <v>70289.84</v>
      </c>
      <c r="AD354" s="194">
        <v>310013.90000000002</v>
      </c>
      <c r="AE354" s="194">
        <v>6820.1</v>
      </c>
      <c r="AF354" s="76">
        <v>0.08</v>
      </c>
      <c r="AG354" s="70">
        <v>4734.1000000000013</v>
      </c>
      <c r="AH354" s="31"/>
    </row>
    <row r="355" spans="3:34" x14ac:dyDescent="0.25">
      <c r="C355" s="72"/>
      <c r="D355" s="54">
        <v>346</v>
      </c>
      <c r="E355" s="70">
        <v>44493.59</v>
      </c>
      <c r="F355" s="75">
        <v>9434</v>
      </c>
      <c r="G355" s="75">
        <v>84582</v>
      </c>
      <c r="H355" s="194">
        <v>329056</v>
      </c>
      <c r="I355" s="194">
        <v>12341.76</v>
      </c>
      <c r="J355" s="75">
        <v>81753.173721494197</v>
      </c>
      <c r="K355" s="73"/>
      <c r="M355" s="72"/>
      <c r="N355" s="54">
        <v>346</v>
      </c>
      <c r="O355" s="70">
        <v>49107.224999999991</v>
      </c>
      <c r="P355" s="75">
        <v>14170</v>
      </c>
      <c r="Q355" s="75">
        <v>79846</v>
      </c>
      <c r="R355" s="194">
        <v>327320.17499999999</v>
      </c>
      <c r="S355" s="194">
        <v>5992.3</v>
      </c>
      <c r="T355" s="70">
        <v>1735.8250000000007</v>
      </c>
      <c r="U355" s="80">
        <v>81753.173721494197</v>
      </c>
      <c r="V355" s="73"/>
      <c r="X355" s="30"/>
      <c r="Y355" s="54">
        <v>346</v>
      </c>
      <c r="Z355" s="70">
        <v>45748.44999999999</v>
      </c>
      <c r="AA355" s="75">
        <v>11287</v>
      </c>
      <c r="AB355" s="75">
        <v>5791.0300000000007</v>
      </c>
      <c r="AC355" s="75">
        <v>76937.97</v>
      </c>
      <c r="AD355" s="194">
        <v>325105.55</v>
      </c>
      <c r="AE355" s="194">
        <v>7136.45</v>
      </c>
      <c r="AF355" s="76">
        <v>7.0000000000000007E-2</v>
      </c>
      <c r="AG355" s="70">
        <v>3950.4500000000012</v>
      </c>
      <c r="AH355" s="31"/>
    </row>
    <row r="356" spans="3:34" x14ac:dyDescent="0.25">
      <c r="C356" s="72"/>
      <c r="D356" s="54">
        <v>347</v>
      </c>
      <c r="E356" s="70">
        <v>30635.27</v>
      </c>
      <c r="F356" s="75">
        <v>5237</v>
      </c>
      <c r="G356" s="75">
        <v>84691</v>
      </c>
      <c r="H356" s="194">
        <v>314748</v>
      </c>
      <c r="I356" s="194">
        <v>11892.08</v>
      </c>
      <c r="J356" s="75">
        <v>81753.173721494197</v>
      </c>
      <c r="K356" s="73"/>
      <c r="M356" s="72"/>
      <c r="N356" s="54">
        <v>347</v>
      </c>
      <c r="O356" s="70">
        <v>35245.702500000014</v>
      </c>
      <c r="P356" s="75">
        <v>10831</v>
      </c>
      <c r="Q356" s="75">
        <v>79097</v>
      </c>
      <c r="R356" s="194">
        <v>313421.20250000001</v>
      </c>
      <c r="S356" s="194">
        <v>5954.85</v>
      </c>
      <c r="T356" s="70">
        <v>1326.7975000000006</v>
      </c>
      <c r="U356" s="80">
        <v>81753.173721494197</v>
      </c>
      <c r="V356" s="73"/>
      <c r="X356" s="30"/>
      <c r="Y356" s="54">
        <v>347</v>
      </c>
      <c r="Z356" s="70">
        <v>60282.250000000015</v>
      </c>
      <c r="AA356" s="75">
        <v>9853</v>
      </c>
      <c r="AB356" s="75">
        <v>6177.5700000000006</v>
      </c>
      <c r="AC356" s="75">
        <v>82073.429999999993</v>
      </c>
      <c r="AD356" s="194">
        <v>339915.45</v>
      </c>
      <c r="AE356" s="194">
        <v>7412.55</v>
      </c>
      <c r="AF356" s="76">
        <v>7.0000000000000007E-2</v>
      </c>
      <c r="AG356" s="70">
        <v>3448.5500000000011</v>
      </c>
      <c r="AH356" s="31"/>
    </row>
    <row r="357" spans="3:34" x14ac:dyDescent="0.25">
      <c r="C357" s="72"/>
      <c r="D357" s="54">
        <v>348</v>
      </c>
      <c r="E357" s="70">
        <v>58351.91</v>
      </c>
      <c r="F357" s="75">
        <v>5818</v>
      </c>
      <c r="G357" s="75">
        <v>92286</v>
      </c>
      <c r="H357" s="194">
        <v>343364</v>
      </c>
      <c r="I357" s="194">
        <v>12791.44</v>
      </c>
      <c r="J357" s="75">
        <v>81753.173721494197</v>
      </c>
      <c r="K357" s="73"/>
      <c r="M357" s="72"/>
      <c r="N357" s="54">
        <v>348</v>
      </c>
      <c r="O357" s="70">
        <v>35369.46</v>
      </c>
      <c r="P357" s="75">
        <v>9124</v>
      </c>
      <c r="Q357" s="75">
        <v>80804</v>
      </c>
      <c r="R357" s="194">
        <v>313630.31</v>
      </c>
      <c r="S357" s="194">
        <v>6040.2000000000007</v>
      </c>
      <c r="T357" s="70">
        <v>1117.6900000000005</v>
      </c>
      <c r="U357" s="80">
        <v>81753.173721494197</v>
      </c>
      <c r="V357" s="73"/>
      <c r="X357" s="30"/>
      <c r="Y357" s="54">
        <v>348</v>
      </c>
      <c r="Z357" s="70">
        <v>45750.250000000022</v>
      </c>
      <c r="AA357" s="75">
        <v>11281</v>
      </c>
      <c r="AB357" s="75">
        <v>7446.15</v>
      </c>
      <c r="AC357" s="75">
        <v>75288.850000000006</v>
      </c>
      <c r="AD357" s="194">
        <v>325107.65000000002</v>
      </c>
      <c r="AE357" s="194">
        <v>7136.75</v>
      </c>
      <c r="AF357" s="76">
        <v>0.09</v>
      </c>
      <c r="AG357" s="70">
        <v>3948.3500000000008</v>
      </c>
      <c r="AH357" s="31"/>
    </row>
    <row r="358" spans="3:34" x14ac:dyDescent="0.25">
      <c r="C358" s="72"/>
      <c r="D358" s="54">
        <v>349</v>
      </c>
      <c r="E358" s="70">
        <v>86065.16</v>
      </c>
      <c r="F358" s="75">
        <v>10490</v>
      </c>
      <c r="G358" s="75">
        <v>95789</v>
      </c>
      <c r="H358" s="194">
        <v>371976.5</v>
      </c>
      <c r="I358" s="194">
        <v>13690.69</v>
      </c>
      <c r="J358" s="75">
        <v>81753.173721494197</v>
      </c>
      <c r="K358" s="73"/>
      <c r="M358" s="72"/>
      <c r="N358" s="54">
        <v>349</v>
      </c>
      <c r="O358" s="70">
        <v>63532.942500000005</v>
      </c>
      <c r="P358" s="75">
        <v>9727</v>
      </c>
      <c r="Q358" s="75">
        <v>88377</v>
      </c>
      <c r="R358" s="194">
        <v>342172.4425</v>
      </c>
      <c r="S358" s="194">
        <v>6418.85</v>
      </c>
      <c r="T358" s="70">
        <v>1191.5575000000006</v>
      </c>
      <c r="U358" s="80">
        <v>81753.173721494197</v>
      </c>
      <c r="V358" s="73"/>
      <c r="X358" s="30"/>
      <c r="Y358" s="54">
        <v>349</v>
      </c>
      <c r="Z358" s="70">
        <v>59444.949999999975</v>
      </c>
      <c r="AA358" s="75">
        <v>12644</v>
      </c>
      <c r="AB358" s="75">
        <v>5127.5999999999995</v>
      </c>
      <c r="AC358" s="75">
        <v>80332.399999999994</v>
      </c>
      <c r="AD358" s="194">
        <v>338938.6</v>
      </c>
      <c r="AE358" s="194">
        <v>7273</v>
      </c>
      <c r="AF358" s="76">
        <v>0.06</v>
      </c>
      <c r="AG358" s="70">
        <v>4425.4000000000015</v>
      </c>
      <c r="AH358" s="31"/>
    </row>
    <row r="359" spans="3:34" x14ac:dyDescent="0.25">
      <c r="C359" s="72"/>
      <c r="D359" s="54">
        <v>350</v>
      </c>
      <c r="E359" s="70">
        <v>58351.91</v>
      </c>
      <c r="F359" s="75">
        <v>8686</v>
      </c>
      <c r="G359" s="75">
        <v>89418</v>
      </c>
      <c r="H359" s="194">
        <v>343364</v>
      </c>
      <c r="I359" s="194">
        <v>12791.44</v>
      </c>
      <c r="J359" s="75">
        <v>81753.173721494197</v>
      </c>
      <c r="K359" s="73"/>
      <c r="M359" s="72"/>
      <c r="N359" s="54">
        <v>350</v>
      </c>
      <c r="O359" s="70">
        <v>63233.952499999999</v>
      </c>
      <c r="P359" s="75">
        <v>13851</v>
      </c>
      <c r="Q359" s="75">
        <v>84253</v>
      </c>
      <c r="R359" s="194">
        <v>341667.2525</v>
      </c>
      <c r="S359" s="194">
        <v>6212.6500000000005</v>
      </c>
      <c r="T359" s="70">
        <v>1696.7475000000006</v>
      </c>
      <c r="U359" s="80">
        <v>81753.173721494197</v>
      </c>
      <c r="V359" s="73"/>
      <c r="X359" s="30"/>
      <c r="Y359" s="54">
        <v>350</v>
      </c>
      <c r="Z359" s="70">
        <v>45438.250000000022</v>
      </c>
      <c r="AA359" s="75">
        <v>12321</v>
      </c>
      <c r="AB359" s="75">
        <v>6535.6</v>
      </c>
      <c r="AC359" s="75">
        <v>75159.399999999994</v>
      </c>
      <c r="AD359" s="194">
        <v>324743.65000000002</v>
      </c>
      <c r="AE359" s="194">
        <v>7084.75</v>
      </c>
      <c r="AF359" s="76">
        <v>0.08</v>
      </c>
      <c r="AG359" s="70">
        <v>4312.3500000000013</v>
      </c>
      <c r="AH359" s="31"/>
    </row>
    <row r="360" spans="3:34" x14ac:dyDescent="0.25">
      <c r="C360" s="72"/>
      <c r="D360" s="54">
        <v>351</v>
      </c>
      <c r="E360" s="70">
        <v>44493.59</v>
      </c>
      <c r="F360" s="75">
        <v>4725</v>
      </c>
      <c r="G360" s="75">
        <v>89291</v>
      </c>
      <c r="H360" s="194">
        <v>329056</v>
      </c>
      <c r="I360" s="194">
        <v>12341.76</v>
      </c>
      <c r="J360" s="75">
        <v>81753.173721494197</v>
      </c>
      <c r="K360" s="73"/>
      <c r="M360" s="72"/>
      <c r="N360" s="54">
        <v>351</v>
      </c>
      <c r="O360" s="70">
        <v>63232.067500000005</v>
      </c>
      <c r="P360" s="75">
        <v>13877</v>
      </c>
      <c r="Q360" s="75">
        <v>84227</v>
      </c>
      <c r="R360" s="194">
        <v>341664.0675</v>
      </c>
      <c r="S360" s="194">
        <v>6211.35</v>
      </c>
      <c r="T360" s="70">
        <v>1699.9325000000008</v>
      </c>
      <c r="U360" s="80">
        <v>81753.173721494197</v>
      </c>
      <c r="V360" s="73"/>
      <c r="X360" s="30"/>
      <c r="Y360" s="54">
        <v>351</v>
      </c>
      <c r="Z360" s="70">
        <v>31037.349999999988</v>
      </c>
      <c r="AA360" s="75">
        <v>13312</v>
      </c>
      <c r="AB360" s="75">
        <v>6129.28</v>
      </c>
      <c r="AC360" s="75">
        <v>70486.720000000001</v>
      </c>
      <c r="AD360" s="194">
        <v>310088.8</v>
      </c>
      <c r="AE360" s="194">
        <v>6830.8</v>
      </c>
      <c r="AF360" s="76">
        <v>0.08</v>
      </c>
      <c r="AG360" s="70">
        <v>4659.2000000000007</v>
      </c>
      <c r="AH360" s="31"/>
    </row>
    <row r="361" spans="3:34" x14ac:dyDescent="0.25">
      <c r="C361" s="72"/>
      <c r="D361" s="54">
        <v>352</v>
      </c>
      <c r="E361" s="70">
        <v>44493.59</v>
      </c>
      <c r="F361" s="75">
        <v>8462</v>
      </c>
      <c r="G361" s="75">
        <v>85554</v>
      </c>
      <c r="H361" s="194">
        <v>329056</v>
      </c>
      <c r="I361" s="194">
        <v>12341.76</v>
      </c>
      <c r="J361" s="75">
        <v>81753.173721494197</v>
      </c>
      <c r="K361" s="73"/>
      <c r="M361" s="72"/>
      <c r="N361" s="54">
        <v>352</v>
      </c>
      <c r="O361" s="70">
        <v>63314.717500000028</v>
      </c>
      <c r="P361" s="75">
        <v>12737</v>
      </c>
      <c r="Q361" s="75">
        <v>85367</v>
      </c>
      <c r="R361" s="194">
        <v>341803.71750000003</v>
      </c>
      <c r="S361" s="194">
        <v>6268.35</v>
      </c>
      <c r="T361" s="70">
        <v>1560.2825000000007</v>
      </c>
      <c r="U361" s="80">
        <v>81753.173721494197</v>
      </c>
      <c r="V361" s="73"/>
      <c r="X361" s="30"/>
      <c r="Y361" s="54">
        <v>352</v>
      </c>
      <c r="Z361" s="70">
        <v>32320.45</v>
      </c>
      <c r="AA361" s="75">
        <v>9035</v>
      </c>
      <c r="AB361" s="75">
        <v>5662.51</v>
      </c>
      <c r="AC361" s="75">
        <v>75230.490000000005</v>
      </c>
      <c r="AD361" s="194">
        <v>311585.75</v>
      </c>
      <c r="AE361" s="194">
        <v>7044.65</v>
      </c>
      <c r="AF361" s="76">
        <v>7.0000000000000007E-2</v>
      </c>
      <c r="AG361" s="70">
        <v>3162.2500000000009</v>
      </c>
      <c r="AH361" s="31"/>
    </row>
    <row r="362" spans="3:34" x14ac:dyDescent="0.25">
      <c r="C362" s="72"/>
      <c r="D362" s="54">
        <v>353</v>
      </c>
      <c r="E362" s="70">
        <v>58351.91</v>
      </c>
      <c r="F362" s="75">
        <v>8916</v>
      </c>
      <c r="G362" s="75">
        <v>89188</v>
      </c>
      <c r="H362" s="194">
        <v>343364</v>
      </c>
      <c r="I362" s="194">
        <v>12791.44</v>
      </c>
      <c r="J362" s="75">
        <v>81753.173721494197</v>
      </c>
      <c r="K362" s="73"/>
      <c r="M362" s="72"/>
      <c r="N362" s="54">
        <v>353</v>
      </c>
      <c r="O362" s="70">
        <v>63520.689999999988</v>
      </c>
      <c r="P362" s="75">
        <v>9896</v>
      </c>
      <c r="Q362" s="75">
        <v>88208</v>
      </c>
      <c r="R362" s="194">
        <v>342151.74</v>
      </c>
      <c r="S362" s="194">
        <v>6410.4000000000005</v>
      </c>
      <c r="T362" s="70">
        <v>1212.2600000000004</v>
      </c>
      <c r="U362" s="80">
        <v>81753.173721494197</v>
      </c>
      <c r="V362" s="73"/>
      <c r="X362" s="30"/>
      <c r="Y362" s="54">
        <v>353</v>
      </c>
      <c r="Z362" s="70">
        <v>31534.45</v>
      </c>
      <c r="AA362" s="75">
        <v>11655</v>
      </c>
      <c r="AB362" s="75">
        <v>7827.3</v>
      </c>
      <c r="AC362" s="75">
        <v>70445.7</v>
      </c>
      <c r="AD362" s="194">
        <v>310668.75</v>
      </c>
      <c r="AE362" s="194">
        <v>6913.65</v>
      </c>
      <c r="AF362" s="76">
        <v>0.1</v>
      </c>
      <c r="AG362" s="70">
        <v>4079.2500000000009</v>
      </c>
      <c r="AH362" s="31"/>
    </row>
    <row r="363" spans="3:34" x14ac:dyDescent="0.25">
      <c r="C363" s="72"/>
      <c r="D363" s="54">
        <v>354</v>
      </c>
      <c r="E363" s="70">
        <v>30635.27</v>
      </c>
      <c r="F363" s="75">
        <v>6387</v>
      </c>
      <c r="G363" s="75">
        <v>83541</v>
      </c>
      <c r="H363" s="194">
        <v>314748</v>
      </c>
      <c r="I363" s="194">
        <v>11892.08</v>
      </c>
      <c r="J363" s="75">
        <v>81753.173721494197</v>
      </c>
      <c r="K363" s="73"/>
      <c r="M363" s="72"/>
      <c r="N363" s="54">
        <v>354</v>
      </c>
      <c r="O363" s="70">
        <v>49312.254999999983</v>
      </c>
      <c r="P363" s="75">
        <v>11342</v>
      </c>
      <c r="Q363" s="75">
        <v>82674</v>
      </c>
      <c r="R363" s="194">
        <v>327666.60499999998</v>
      </c>
      <c r="S363" s="194">
        <v>6133.7</v>
      </c>
      <c r="T363" s="70">
        <v>1389.3950000000007</v>
      </c>
      <c r="U363" s="80">
        <v>81753.173721494197</v>
      </c>
      <c r="V363" s="73"/>
      <c r="X363" s="30"/>
      <c r="Y363" s="54">
        <v>354</v>
      </c>
      <c r="Z363" s="70">
        <v>86945.500000000015</v>
      </c>
      <c r="AA363" s="75">
        <v>14988</v>
      </c>
      <c r="AB363" s="75">
        <v>5477.46</v>
      </c>
      <c r="AC363" s="75">
        <v>85813.54</v>
      </c>
      <c r="AD363" s="194">
        <v>366730.7</v>
      </c>
      <c r="AE363" s="194">
        <v>7564.55</v>
      </c>
      <c r="AF363" s="76">
        <v>0.06</v>
      </c>
      <c r="AG363" s="70">
        <v>5245.8000000000011</v>
      </c>
      <c r="AH363" s="31"/>
    </row>
    <row r="364" spans="3:34" x14ac:dyDescent="0.25">
      <c r="C364" s="72"/>
      <c r="D364" s="54">
        <v>355</v>
      </c>
      <c r="E364" s="70">
        <v>44493.59</v>
      </c>
      <c r="F364" s="75">
        <v>6703</v>
      </c>
      <c r="G364" s="75">
        <v>87313</v>
      </c>
      <c r="H364" s="194">
        <v>329056</v>
      </c>
      <c r="I364" s="194">
        <v>12341.76</v>
      </c>
      <c r="J364" s="75">
        <v>81753.173721494197</v>
      </c>
      <c r="K364" s="73"/>
      <c r="M364" s="72"/>
      <c r="N364" s="54">
        <v>355</v>
      </c>
      <c r="O364" s="70">
        <v>49252.442499999983</v>
      </c>
      <c r="P364" s="75">
        <v>12167</v>
      </c>
      <c r="Q364" s="75">
        <v>81849</v>
      </c>
      <c r="R364" s="194">
        <v>327565.54249999998</v>
      </c>
      <c r="S364" s="194">
        <v>6092.4500000000007</v>
      </c>
      <c r="T364" s="70">
        <v>1490.4575000000007</v>
      </c>
      <c r="U364" s="80">
        <v>81753.173721494197</v>
      </c>
      <c r="V364" s="73"/>
      <c r="X364" s="30"/>
      <c r="Y364" s="54">
        <v>355</v>
      </c>
      <c r="Z364" s="70">
        <v>46029.250000000022</v>
      </c>
      <c r="AA364" s="75">
        <v>10351</v>
      </c>
      <c r="AB364" s="75">
        <v>4183.25</v>
      </c>
      <c r="AC364" s="75">
        <v>79481.75</v>
      </c>
      <c r="AD364" s="194">
        <v>325433.15000000002</v>
      </c>
      <c r="AE364" s="194">
        <v>7183.25</v>
      </c>
      <c r="AF364" s="76">
        <v>0.05</v>
      </c>
      <c r="AG364" s="70">
        <v>3622.8500000000008</v>
      </c>
      <c r="AH364" s="31"/>
    </row>
    <row r="365" spans="3:34" x14ac:dyDescent="0.25">
      <c r="C365" s="72"/>
      <c r="D365" s="54">
        <v>356</v>
      </c>
      <c r="E365" s="70">
        <v>58351.91</v>
      </c>
      <c r="F365" s="75">
        <v>4899</v>
      </c>
      <c r="G365" s="75">
        <v>93205</v>
      </c>
      <c r="H365" s="194">
        <v>343364</v>
      </c>
      <c r="I365" s="194">
        <v>12791.44</v>
      </c>
      <c r="J365" s="75">
        <v>81753.173721494197</v>
      </c>
      <c r="K365" s="73"/>
      <c r="M365" s="72"/>
      <c r="N365" s="54">
        <v>356</v>
      </c>
      <c r="O365" s="70">
        <v>35124.192500000019</v>
      </c>
      <c r="P365" s="75">
        <v>12507</v>
      </c>
      <c r="Q365" s="75">
        <v>77421</v>
      </c>
      <c r="R365" s="194">
        <v>313215.89250000002</v>
      </c>
      <c r="S365" s="194">
        <v>5871.05</v>
      </c>
      <c r="T365" s="70">
        <v>1532.1075000000008</v>
      </c>
      <c r="U365" s="80">
        <v>81753.173721494197</v>
      </c>
      <c r="V365" s="73"/>
      <c r="X365" s="30"/>
      <c r="Y365" s="54">
        <v>356</v>
      </c>
      <c r="Z365" s="70">
        <v>45692.650000000009</v>
      </c>
      <c r="AA365" s="75">
        <v>11473</v>
      </c>
      <c r="AB365" s="75">
        <v>4127.1500000000005</v>
      </c>
      <c r="AC365" s="75">
        <v>78415.850000000006</v>
      </c>
      <c r="AD365" s="194">
        <v>325040.45</v>
      </c>
      <c r="AE365" s="194">
        <v>7127.1500000000005</v>
      </c>
      <c r="AF365" s="76">
        <v>0.05</v>
      </c>
      <c r="AG365" s="70">
        <v>4015.5500000000011</v>
      </c>
      <c r="AH365" s="31"/>
    </row>
    <row r="366" spans="3:34" x14ac:dyDescent="0.25">
      <c r="C366" s="72"/>
      <c r="D366" s="54">
        <v>357</v>
      </c>
      <c r="E366" s="70">
        <v>30635.27</v>
      </c>
      <c r="F366" s="75">
        <v>8070</v>
      </c>
      <c r="G366" s="75">
        <v>81858</v>
      </c>
      <c r="H366" s="194">
        <v>314748</v>
      </c>
      <c r="I366" s="194">
        <v>11892.08</v>
      </c>
      <c r="J366" s="75">
        <v>81753.173721494197</v>
      </c>
      <c r="K366" s="73"/>
      <c r="M366" s="72"/>
      <c r="N366" s="54">
        <v>357</v>
      </c>
      <c r="O366" s="70">
        <v>49252.442499999983</v>
      </c>
      <c r="P366" s="75">
        <v>12167</v>
      </c>
      <c r="Q366" s="75">
        <v>81849</v>
      </c>
      <c r="R366" s="194">
        <v>327565.54249999998</v>
      </c>
      <c r="S366" s="194">
        <v>6092.4500000000007</v>
      </c>
      <c r="T366" s="70">
        <v>1490.4575000000007</v>
      </c>
      <c r="U366" s="80">
        <v>81753.173721494197</v>
      </c>
      <c r="V366" s="73"/>
      <c r="X366" s="30"/>
      <c r="Y366" s="54">
        <v>357</v>
      </c>
      <c r="Z366" s="70">
        <v>31017.55000000001</v>
      </c>
      <c r="AA366" s="75">
        <v>13378</v>
      </c>
      <c r="AB366" s="75">
        <v>5358.5000000000009</v>
      </c>
      <c r="AC366" s="75">
        <v>71191.5</v>
      </c>
      <c r="AD366" s="194">
        <v>310065.7</v>
      </c>
      <c r="AE366" s="194">
        <v>6827.5</v>
      </c>
      <c r="AF366" s="76">
        <v>7.0000000000000007E-2</v>
      </c>
      <c r="AG366" s="70">
        <v>4682.3000000000011</v>
      </c>
      <c r="AH366" s="31"/>
    </row>
    <row r="367" spans="3:34" x14ac:dyDescent="0.25">
      <c r="C367" s="72"/>
      <c r="D367" s="54">
        <v>358</v>
      </c>
      <c r="E367" s="70">
        <v>58351.91</v>
      </c>
      <c r="F367" s="75">
        <v>9816</v>
      </c>
      <c r="G367" s="75">
        <v>88288</v>
      </c>
      <c r="H367" s="194">
        <v>343364</v>
      </c>
      <c r="I367" s="194">
        <v>12791.44</v>
      </c>
      <c r="J367" s="75">
        <v>81753.173721494197</v>
      </c>
      <c r="K367" s="73"/>
      <c r="M367" s="72"/>
      <c r="N367" s="54">
        <v>358</v>
      </c>
      <c r="O367" s="70">
        <v>35058.434999999976</v>
      </c>
      <c r="P367" s="75">
        <v>13414</v>
      </c>
      <c r="Q367" s="75">
        <v>76514</v>
      </c>
      <c r="R367" s="194">
        <v>313104.78499999997</v>
      </c>
      <c r="S367" s="194">
        <v>5825.7000000000007</v>
      </c>
      <c r="T367" s="70">
        <v>1643.2150000000008</v>
      </c>
      <c r="U367" s="80">
        <v>81753.173721494197</v>
      </c>
      <c r="V367" s="73"/>
      <c r="X367" s="30"/>
      <c r="Y367" s="54">
        <v>358</v>
      </c>
      <c r="Z367" s="70">
        <v>45248.05</v>
      </c>
      <c r="AA367" s="75">
        <v>12955</v>
      </c>
      <c r="AB367" s="75">
        <v>4053.05</v>
      </c>
      <c r="AC367" s="75">
        <v>77007.95</v>
      </c>
      <c r="AD367" s="194">
        <v>324521.75</v>
      </c>
      <c r="AE367" s="194">
        <v>7053.05</v>
      </c>
      <c r="AF367" s="76">
        <v>0.05</v>
      </c>
      <c r="AG367" s="70">
        <v>4534.2500000000009</v>
      </c>
      <c r="AH367" s="31"/>
    </row>
    <row r="368" spans="3:34" x14ac:dyDescent="0.25">
      <c r="C368" s="72"/>
      <c r="D368" s="54">
        <v>359</v>
      </c>
      <c r="E368" s="70">
        <v>58351.91</v>
      </c>
      <c r="F368" s="75">
        <v>5795</v>
      </c>
      <c r="G368" s="75">
        <v>92309</v>
      </c>
      <c r="H368" s="194">
        <v>343364</v>
      </c>
      <c r="I368" s="194">
        <v>12791.44</v>
      </c>
      <c r="J368" s="75">
        <v>81753.173721494197</v>
      </c>
      <c r="K368" s="73"/>
      <c r="M368" s="72"/>
      <c r="N368" s="54">
        <v>359</v>
      </c>
      <c r="O368" s="70">
        <v>49388.52499999998</v>
      </c>
      <c r="P368" s="75">
        <v>10290</v>
      </c>
      <c r="Q368" s="75">
        <v>83726</v>
      </c>
      <c r="R368" s="194">
        <v>327795.47499999998</v>
      </c>
      <c r="S368" s="194">
        <v>6186.3</v>
      </c>
      <c r="T368" s="70">
        <v>1260.5250000000005</v>
      </c>
      <c r="U368" s="80">
        <v>81753.173721494197</v>
      </c>
      <c r="V368" s="73"/>
      <c r="X368" s="30"/>
      <c r="Y368" s="54">
        <v>359</v>
      </c>
      <c r="Z368" s="70">
        <v>58864.15</v>
      </c>
      <c r="AA368" s="75">
        <v>14580</v>
      </c>
      <c r="AB368" s="75">
        <v>7517.16</v>
      </c>
      <c r="AC368" s="75">
        <v>76006.84</v>
      </c>
      <c r="AD368" s="194">
        <v>338261</v>
      </c>
      <c r="AE368" s="194">
        <v>7176.2</v>
      </c>
      <c r="AF368" s="76">
        <v>0.09</v>
      </c>
      <c r="AG368" s="70">
        <v>5103.0000000000009</v>
      </c>
      <c r="AH368" s="31"/>
    </row>
    <row r="369" spans="3:34" x14ac:dyDescent="0.25">
      <c r="C369" s="72"/>
      <c r="D369" s="54">
        <v>360</v>
      </c>
      <c r="E369" s="70">
        <v>44493.59</v>
      </c>
      <c r="F369" s="75">
        <v>7601</v>
      </c>
      <c r="G369" s="75">
        <v>86415</v>
      </c>
      <c r="H369" s="194">
        <v>329056</v>
      </c>
      <c r="I369" s="194">
        <v>12341.76</v>
      </c>
      <c r="J369" s="75">
        <v>81753.173721494197</v>
      </c>
      <c r="K369" s="73"/>
      <c r="M369" s="72"/>
      <c r="N369" s="54">
        <v>360</v>
      </c>
      <c r="O369" s="70">
        <v>49122.885000000009</v>
      </c>
      <c r="P369" s="75">
        <v>13954</v>
      </c>
      <c r="Q369" s="75">
        <v>80062</v>
      </c>
      <c r="R369" s="194">
        <v>327346.63500000001</v>
      </c>
      <c r="S369" s="194">
        <v>6003.1</v>
      </c>
      <c r="T369" s="70">
        <v>1709.3650000000007</v>
      </c>
      <c r="U369" s="80">
        <v>81753.173721494197</v>
      </c>
      <c r="V369" s="73"/>
      <c r="X369" s="30"/>
      <c r="Y369" s="54">
        <v>360</v>
      </c>
      <c r="Z369" s="70">
        <v>60301.449999999975</v>
      </c>
      <c r="AA369" s="75">
        <v>9789</v>
      </c>
      <c r="AB369" s="75">
        <v>6182.05</v>
      </c>
      <c r="AC369" s="75">
        <v>82132.95</v>
      </c>
      <c r="AD369" s="194">
        <v>339937.85</v>
      </c>
      <c r="AE369" s="194">
        <v>7415.75</v>
      </c>
      <c r="AF369" s="76">
        <v>7.0000000000000007E-2</v>
      </c>
      <c r="AG369" s="70">
        <v>3426.150000000001</v>
      </c>
      <c r="AH369" s="31"/>
    </row>
    <row r="370" spans="3:34" x14ac:dyDescent="0.25">
      <c r="C370" s="72"/>
      <c r="D370" s="54">
        <v>361</v>
      </c>
      <c r="E370" s="70">
        <v>30635.27</v>
      </c>
      <c r="F370" s="75">
        <v>6347</v>
      </c>
      <c r="G370" s="75">
        <v>83581</v>
      </c>
      <c r="H370" s="194">
        <v>314748</v>
      </c>
      <c r="I370" s="194">
        <v>11892.08</v>
      </c>
      <c r="J370" s="75">
        <v>81753.173721494197</v>
      </c>
      <c r="K370" s="73"/>
      <c r="M370" s="72"/>
      <c r="N370" s="54">
        <v>361</v>
      </c>
      <c r="O370" s="70">
        <v>91437.992499999993</v>
      </c>
      <c r="P370" s="75">
        <v>13847</v>
      </c>
      <c r="Q370" s="75">
        <v>92432</v>
      </c>
      <c r="R370" s="194">
        <v>370280.24249999999</v>
      </c>
      <c r="S370" s="194">
        <v>6621.6</v>
      </c>
      <c r="T370" s="70">
        <v>1696.2575000000008</v>
      </c>
      <c r="U370" s="80">
        <v>81753.173721494197</v>
      </c>
      <c r="V370" s="73"/>
      <c r="X370" s="30"/>
      <c r="Y370" s="54">
        <v>361</v>
      </c>
      <c r="Z370" s="70">
        <v>60305.35000000002</v>
      </c>
      <c r="AA370" s="75">
        <v>9776</v>
      </c>
      <c r="AB370" s="75">
        <v>8832.8000000000011</v>
      </c>
      <c r="AC370" s="75">
        <v>79495.199999999997</v>
      </c>
      <c r="AD370" s="194">
        <v>339942.40000000002</v>
      </c>
      <c r="AE370" s="194">
        <v>7416.4000000000005</v>
      </c>
      <c r="AF370" s="76">
        <v>0.1</v>
      </c>
      <c r="AG370" s="70">
        <v>3421.6000000000008</v>
      </c>
      <c r="AH370" s="31"/>
    </row>
    <row r="371" spans="3:34" x14ac:dyDescent="0.25">
      <c r="C371" s="72"/>
      <c r="D371" s="54">
        <v>362</v>
      </c>
      <c r="E371" s="70">
        <v>58351.91</v>
      </c>
      <c r="F371" s="75">
        <v>5012</v>
      </c>
      <c r="G371" s="75">
        <v>93092</v>
      </c>
      <c r="H371" s="194">
        <v>343364</v>
      </c>
      <c r="I371" s="194">
        <v>12791.44</v>
      </c>
      <c r="J371" s="75">
        <v>81753.173721494197</v>
      </c>
      <c r="K371" s="73"/>
      <c r="M371" s="72"/>
      <c r="N371" s="54">
        <v>362</v>
      </c>
      <c r="O371" s="70">
        <v>63374.892500000016</v>
      </c>
      <c r="P371" s="75">
        <v>11907</v>
      </c>
      <c r="Q371" s="75">
        <v>86197</v>
      </c>
      <c r="R371" s="194">
        <v>341905.39250000002</v>
      </c>
      <c r="S371" s="194">
        <v>6309.85</v>
      </c>
      <c r="T371" s="70">
        <v>1458.6075000000005</v>
      </c>
      <c r="U371" s="80">
        <v>81753.173721494197</v>
      </c>
      <c r="V371" s="73"/>
      <c r="X371" s="30"/>
      <c r="Y371" s="54">
        <v>362</v>
      </c>
      <c r="Z371" s="70">
        <v>44933.05</v>
      </c>
      <c r="AA371" s="75">
        <v>14005</v>
      </c>
      <c r="AB371" s="75">
        <v>4800.66</v>
      </c>
      <c r="AC371" s="75">
        <v>75210.34</v>
      </c>
      <c r="AD371" s="194">
        <v>324154.25</v>
      </c>
      <c r="AE371" s="194">
        <v>7000.55</v>
      </c>
      <c r="AF371" s="76">
        <v>0.06</v>
      </c>
      <c r="AG371" s="70">
        <v>4901.7500000000009</v>
      </c>
      <c r="AH371" s="31"/>
    </row>
    <row r="372" spans="3:34" x14ac:dyDescent="0.25">
      <c r="C372" s="72"/>
      <c r="D372" s="54">
        <v>363</v>
      </c>
      <c r="E372" s="70">
        <v>58351.91</v>
      </c>
      <c r="F372" s="75">
        <v>4837</v>
      </c>
      <c r="G372" s="75">
        <v>93267</v>
      </c>
      <c r="H372" s="194">
        <v>343364</v>
      </c>
      <c r="I372" s="194">
        <v>12791.44</v>
      </c>
      <c r="J372" s="75">
        <v>81753.173721494197</v>
      </c>
      <c r="K372" s="73"/>
      <c r="M372" s="72"/>
      <c r="N372" s="54">
        <v>363</v>
      </c>
      <c r="O372" s="70">
        <v>35056.042499999996</v>
      </c>
      <c r="P372" s="75">
        <v>13447</v>
      </c>
      <c r="Q372" s="75">
        <v>76481</v>
      </c>
      <c r="R372" s="194">
        <v>313100.74249999999</v>
      </c>
      <c r="S372" s="194">
        <v>5824.05</v>
      </c>
      <c r="T372" s="70">
        <v>1647.2575000000006</v>
      </c>
      <c r="U372" s="80">
        <v>81753.173721494197</v>
      </c>
      <c r="V372" s="73"/>
      <c r="X372" s="30"/>
      <c r="Y372" s="54">
        <v>363</v>
      </c>
      <c r="Z372" s="70">
        <v>46043.349999999977</v>
      </c>
      <c r="AA372" s="75">
        <v>10304</v>
      </c>
      <c r="AB372" s="75">
        <v>8371.2000000000007</v>
      </c>
      <c r="AC372" s="75">
        <v>75340.800000000003</v>
      </c>
      <c r="AD372" s="194">
        <v>325449.59999999998</v>
      </c>
      <c r="AE372" s="194">
        <v>7185.6</v>
      </c>
      <c r="AF372" s="76">
        <v>0.1</v>
      </c>
      <c r="AG372" s="70">
        <v>3606.400000000001</v>
      </c>
      <c r="AH372" s="31"/>
    </row>
    <row r="373" spans="3:34" x14ac:dyDescent="0.25">
      <c r="C373" s="72"/>
      <c r="D373" s="54">
        <v>364</v>
      </c>
      <c r="E373" s="70">
        <v>30635.27</v>
      </c>
      <c r="F373" s="75">
        <v>9027</v>
      </c>
      <c r="G373" s="75">
        <v>80901</v>
      </c>
      <c r="H373" s="194">
        <v>314748</v>
      </c>
      <c r="I373" s="194">
        <v>11892.08</v>
      </c>
      <c r="J373" s="75">
        <v>81753.173721494197</v>
      </c>
      <c r="K373" s="73"/>
      <c r="M373" s="72"/>
      <c r="N373" s="54">
        <v>364</v>
      </c>
      <c r="O373" s="70">
        <v>35190.964999999967</v>
      </c>
      <c r="P373" s="75">
        <v>11586</v>
      </c>
      <c r="Q373" s="75">
        <v>78342</v>
      </c>
      <c r="R373" s="194">
        <v>313328.71499999997</v>
      </c>
      <c r="S373" s="194">
        <v>5917.1</v>
      </c>
      <c r="T373" s="70">
        <v>1419.2850000000005</v>
      </c>
      <c r="U373" s="80">
        <v>81753.173721494197</v>
      </c>
      <c r="V373" s="73"/>
      <c r="X373" s="30"/>
      <c r="Y373" s="54">
        <v>364</v>
      </c>
      <c r="Z373" s="70">
        <v>44881.150000000009</v>
      </c>
      <c r="AA373" s="75">
        <v>14178</v>
      </c>
      <c r="AB373" s="75">
        <v>7185.42</v>
      </c>
      <c r="AC373" s="75">
        <v>72652.58</v>
      </c>
      <c r="AD373" s="194">
        <v>324093.7</v>
      </c>
      <c r="AE373" s="194">
        <v>6991.9</v>
      </c>
      <c r="AF373" s="76">
        <v>0.09</v>
      </c>
      <c r="AG373" s="70">
        <v>4962.3000000000011</v>
      </c>
      <c r="AH373" s="31"/>
    </row>
    <row r="374" spans="3:34" x14ac:dyDescent="0.25">
      <c r="C374" s="72"/>
      <c r="D374" s="54">
        <v>365</v>
      </c>
      <c r="E374" s="70">
        <v>58351.91</v>
      </c>
      <c r="F374" s="75">
        <v>9872</v>
      </c>
      <c r="G374" s="75">
        <v>88232</v>
      </c>
      <c r="H374" s="194">
        <v>343364</v>
      </c>
      <c r="I374" s="194">
        <v>12791.44</v>
      </c>
      <c r="J374" s="75">
        <v>81753.173721494197</v>
      </c>
      <c r="K374" s="73"/>
      <c r="M374" s="72"/>
      <c r="N374" s="54">
        <v>365</v>
      </c>
      <c r="O374" s="70">
        <v>49171.532500000016</v>
      </c>
      <c r="P374" s="75">
        <v>13283</v>
      </c>
      <c r="Q374" s="75">
        <v>80733</v>
      </c>
      <c r="R374" s="194">
        <v>327428.83250000002</v>
      </c>
      <c r="S374" s="194">
        <v>6036.65</v>
      </c>
      <c r="T374" s="70">
        <v>1627.1675000000007</v>
      </c>
      <c r="U374" s="80">
        <v>81753.173721494197</v>
      </c>
      <c r="V374" s="73"/>
      <c r="X374" s="30"/>
      <c r="Y374" s="54">
        <v>365</v>
      </c>
      <c r="Z374" s="70">
        <v>45225.849999999977</v>
      </c>
      <c r="AA374" s="75">
        <v>13029</v>
      </c>
      <c r="AB374" s="75">
        <v>6478.96</v>
      </c>
      <c r="AC374" s="75">
        <v>74508.039999999994</v>
      </c>
      <c r="AD374" s="194">
        <v>324495.84999999998</v>
      </c>
      <c r="AE374" s="194">
        <v>7049.35</v>
      </c>
      <c r="AF374" s="76">
        <v>0.08</v>
      </c>
      <c r="AG374" s="70">
        <v>4560.1500000000015</v>
      </c>
      <c r="AH374" s="31"/>
    </row>
    <row r="375" spans="3:34" x14ac:dyDescent="0.25">
      <c r="C375" s="72"/>
      <c r="D375" s="54">
        <v>366</v>
      </c>
      <c r="E375" s="70">
        <v>30635.27</v>
      </c>
      <c r="F375" s="75">
        <v>4544</v>
      </c>
      <c r="G375" s="75">
        <v>85384</v>
      </c>
      <c r="H375" s="194">
        <v>314748</v>
      </c>
      <c r="I375" s="194">
        <v>11892.08</v>
      </c>
      <c r="J375" s="75">
        <v>81753.173721494197</v>
      </c>
      <c r="K375" s="73"/>
      <c r="M375" s="72"/>
      <c r="N375" s="54">
        <v>366</v>
      </c>
      <c r="O375" s="70">
        <v>63520.037500000013</v>
      </c>
      <c r="P375" s="75">
        <v>9905</v>
      </c>
      <c r="Q375" s="75">
        <v>88199</v>
      </c>
      <c r="R375" s="194">
        <v>342150.63750000001</v>
      </c>
      <c r="S375" s="194">
        <v>6409.95</v>
      </c>
      <c r="T375" s="70">
        <v>1213.3625000000006</v>
      </c>
      <c r="U375" s="80">
        <v>81753.173721494197</v>
      </c>
      <c r="V375" s="73"/>
      <c r="X375" s="30"/>
      <c r="Y375" s="54">
        <v>366</v>
      </c>
      <c r="Z375" s="70">
        <v>32386.749999999978</v>
      </c>
      <c r="AA375" s="75">
        <v>8814</v>
      </c>
      <c r="AB375" s="75">
        <v>7300.2599999999993</v>
      </c>
      <c r="AC375" s="75">
        <v>73813.740000000005</v>
      </c>
      <c r="AD375" s="194">
        <v>311663.09999999998</v>
      </c>
      <c r="AE375" s="194">
        <v>7055.7000000000007</v>
      </c>
      <c r="AF375" s="76">
        <v>0.09</v>
      </c>
      <c r="AG375" s="70">
        <v>3084.900000000001</v>
      </c>
      <c r="AH375" s="31"/>
    </row>
    <row r="376" spans="3:34" x14ac:dyDescent="0.25">
      <c r="C376" s="72"/>
      <c r="D376" s="54">
        <v>367</v>
      </c>
      <c r="E376" s="70">
        <v>58351.91</v>
      </c>
      <c r="F376" s="75">
        <v>9912</v>
      </c>
      <c r="G376" s="75">
        <v>88192</v>
      </c>
      <c r="H376" s="194">
        <v>343364</v>
      </c>
      <c r="I376" s="194">
        <v>12791.44</v>
      </c>
      <c r="J376" s="75">
        <v>81753.173721494197</v>
      </c>
      <c r="K376" s="73"/>
      <c r="M376" s="72"/>
      <c r="N376" s="54">
        <v>367</v>
      </c>
      <c r="O376" s="70">
        <v>63378.80750000001</v>
      </c>
      <c r="P376" s="75">
        <v>11853</v>
      </c>
      <c r="Q376" s="75">
        <v>86251</v>
      </c>
      <c r="R376" s="194">
        <v>341912.00750000001</v>
      </c>
      <c r="S376" s="194">
        <v>6312.55</v>
      </c>
      <c r="T376" s="70">
        <v>1451.9925000000005</v>
      </c>
      <c r="U376" s="80">
        <v>81753.173721494197</v>
      </c>
      <c r="V376" s="73"/>
      <c r="X376" s="30"/>
      <c r="Y376" s="54">
        <v>367</v>
      </c>
      <c r="Z376" s="70">
        <v>59193.250000000015</v>
      </c>
      <c r="AA376" s="75">
        <v>13483</v>
      </c>
      <c r="AB376" s="75">
        <v>6769.68</v>
      </c>
      <c r="AC376" s="75">
        <v>77851.320000000007</v>
      </c>
      <c r="AD376" s="194">
        <v>338644.95</v>
      </c>
      <c r="AE376" s="194">
        <v>7231.05</v>
      </c>
      <c r="AF376" s="76">
        <v>0.08</v>
      </c>
      <c r="AG376" s="70">
        <v>4719.0500000000011</v>
      </c>
      <c r="AH376" s="31"/>
    </row>
    <row r="377" spans="3:34" x14ac:dyDescent="0.25">
      <c r="C377" s="72"/>
      <c r="D377" s="54">
        <v>368</v>
      </c>
      <c r="E377" s="70">
        <v>44493.59</v>
      </c>
      <c r="F377" s="75">
        <v>4739</v>
      </c>
      <c r="G377" s="75">
        <v>89277</v>
      </c>
      <c r="H377" s="194">
        <v>329056</v>
      </c>
      <c r="I377" s="194">
        <v>12341.76</v>
      </c>
      <c r="J377" s="75">
        <v>81753.173721494197</v>
      </c>
      <c r="K377" s="73"/>
      <c r="M377" s="72"/>
      <c r="N377" s="54">
        <v>368</v>
      </c>
      <c r="O377" s="70">
        <v>35381.277500000026</v>
      </c>
      <c r="P377" s="75">
        <v>8961</v>
      </c>
      <c r="Q377" s="75">
        <v>80967</v>
      </c>
      <c r="R377" s="194">
        <v>313650.27750000003</v>
      </c>
      <c r="S377" s="194">
        <v>6048.35</v>
      </c>
      <c r="T377" s="70">
        <v>1097.7225000000005</v>
      </c>
      <c r="U377" s="80">
        <v>81753.173721494197</v>
      </c>
      <c r="V377" s="73"/>
      <c r="X377" s="30"/>
      <c r="Y377" s="54">
        <v>368</v>
      </c>
      <c r="Z377" s="70">
        <v>31027.45</v>
      </c>
      <c r="AA377" s="75">
        <v>13345</v>
      </c>
      <c r="AB377" s="75">
        <v>5360.81</v>
      </c>
      <c r="AC377" s="75">
        <v>71222.19</v>
      </c>
      <c r="AD377" s="194">
        <v>310077.25</v>
      </c>
      <c r="AE377" s="194">
        <v>6829.15</v>
      </c>
      <c r="AF377" s="76">
        <v>7.0000000000000007E-2</v>
      </c>
      <c r="AG377" s="70">
        <v>4670.7500000000009</v>
      </c>
      <c r="AH377" s="31"/>
    </row>
    <row r="378" spans="3:34" x14ac:dyDescent="0.25">
      <c r="C378" s="72"/>
      <c r="D378" s="54">
        <v>369</v>
      </c>
      <c r="E378" s="70">
        <v>86065.16</v>
      </c>
      <c r="F378" s="75">
        <v>8593</v>
      </c>
      <c r="G378" s="75">
        <v>97686</v>
      </c>
      <c r="H378" s="194">
        <v>371976.5</v>
      </c>
      <c r="I378" s="194">
        <v>13690.69</v>
      </c>
      <c r="J378" s="75">
        <v>81753.173721494197</v>
      </c>
      <c r="K378" s="73"/>
      <c r="M378" s="72"/>
      <c r="N378" s="54">
        <v>369</v>
      </c>
      <c r="O378" s="70">
        <v>49318.345000000016</v>
      </c>
      <c r="P378" s="75">
        <v>11258</v>
      </c>
      <c r="Q378" s="75">
        <v>82758</v>
      </c>
      <c r="R378" s="194">
        <v>327676.89500000002</v>
      </c>
      <c r="S378" s="194">
        <v>6137.9000000000005</v>
      </c>
      <c r="T378" s="70">
        <v>1379.1050000000007</v>
      </c>
      <c r="U378" s="80">
        <v>81753.173721494197</v>
      </c>
      <c r="V378" s="73"/>
      <c r="X378" s="30"/>
      <c r="Y378" s="54">
        <v>369</v>
      </c>
      <c r="Z378" s="70">
        <v>45460.750000000022</v>
      </c>
      <c r="AA378" s="75">
        <v>12246</v>
      </c>
      <c r="AB378" s="75">
        <v>4088.5</v>
      </c>
      <c r="AC378" s="75">
        <v>77681.5</v>
      </c>
      <c r="AD378" s="194">
        <v>324769.90000000002</v>
      </c>
      <c r="AE378" s="194">
        <v>7088.5</v>
      </c>
      <c r="AF378" s="76">
        <v>0.05</v>
      </c>
      <c r="AG378" s="70">
        <v>4286.1000000000013</v>
      </c>
      <c r="AH378" s="31"/>
    </row>
    <row r="379" spans="3:34" x14ac:dyDescent="0.25">
      <c r="C379" s="72"/>
      <c r="D379" s="54">
        <v>370</v>
      </c>
      <c r="E379" s="70">
        <v>30635.27</v>
      </c>
      <c r="F379" s="75">
        <v>6979</v>
      </c>
      <c r="G379" s="75">
        <v>82949</v>
      </c>
      <c r="H379" s="194">
        <v>314748</v>
      </c>
      <c r="I379" s="194">
        <v>11892.08</v>
      </c>
      <c r="J379" s="75">
        <v>81753.173721494197</v>
      </c>
      <c r="K379" s="73"/>
      <c r="M379" s="72"/>
      <c r="N379" s="54">
        <v>370</v>
      </c>
      <c r="O379" s="70">
        <v>63528.810000000019</v>
      </c>
      <c r="P379" s="75">
        <v>9784</v>
      </c>
      <c r="Q379" s="75">
        <v>88320</v>
      </c>
      <c r="R379" s="194">
        <v>342165.46</v>
      </c>
      <c r="S379" s="194">
        <v>6416</v>
      </c>
      <c r="T379" s="70">
        <v>1198.5400000000004</v>
      </c>
      <c r="U379" s="80">
        <v>81753.173721494197</v>
      </c>
      <c r="V379" s="73"/>
      <c r="X379" s="30"/>
      <c r="Y379" s="54">
        <v>370</v>
      </c>
      <c r="Z379" s="70">
        <v>59935.750000000015</v>
      </c>
      <c r="AA379" s="75">
        <v>11008</v>
      </c>
      <c r="AB379" s="75">
        <v>4354.8</v>
      </c>
      <c r="AC379" s="75">
        <v>82741.2</v>
      </c>
      <c r="AD379" s="194">
        <v>339511.2</v>
      </c>
      <c r="AE379" s="194">
        <v>7354.8</v>
      </c>
      <c r="AF379" s="76">
        <v>0.05</v>
      </c>
      <c r="AG379" s="70">
        <v>3852.8000000000011</v>
      </c>
      <c r="AH379" s="31"/>
    </row>
    <row r="380" spans="3:34" x14ac:dyDescent="0.25">
      <c r="C380" s="72"/>
      <c r="D380" s="54">
        <v>371</v>
      </c>
      <c r="E380" s="70">
        <v>30635.27</v>
      </c>
      <c r="F380" s="75">
        <v>7142</v>
      </c>
      <c r="G380" s="75">
        <v>82786</v>
      </c>
      <c r="H380" s="194">
        <v>314748</v>
      </c>
      <c r="I380" s="194">
        <v>11892.08</v>
      </c>
      <c r="J380" s="75">
        <v>81753.173721494197</v>
      </c>
      <c r="K380" s="73"/>
      <c r="M380" s="72"/>
      <c r="N380" s="54">
        <v>371</v>
      </c>
      <c r="O380" s="70">
        <v>63382.577499999999</v>
      </c>
      <c r="P380" s="75">
        <v>11801</v>
      </c>
      <c r="Q380" s="75">
        <v>86303</v>
      </c>
      <c r="R380" s="194">
        <v>341918.3775</v>
      </c>
      <c r="S380" s="194">
        <v>6315.1500000000005</v>
      </c>
      <c r="T380" s="70">
        <v>1445.6225000000006</v>
      </c>
      <c r="U380" s="80">
        <v>81753.173721494197</v>
      </c>
      <c r="V380" s="73"/>
      <c r="X380" s="30"/>
      <c r="Y380" s="54">
        <v>371</v>
      </c>
      <c r="Z380" s="70">
        <v>45449.349999999977</v>
      </c>
      <c r="AA380" s="75">
        <v>12284</v>
      </c>
      <c r="AB380" s="75">
        <v>4086.6000000000004</v>
      </c>
      <c r="AC380" s="75">
        <v>77645.399999999994</v>
      </c>
      <c r="AD380" s="194">
        <v>324756.59999999998</v>
      </c>
      <c r="AE380" s="194">
        <v>7086.6</v>
      </c>
      <c r="AF380" s="76">
        <v>0.05</v>
      </c>
      <c r="AG380" s="70">
        <v>4299.4000000000015</v>
      </c>
      <c r="AH380" s="31"/>
    </row>
    <row r="381" spans="3:34" x14ac:dyDescent="0.25">
      <c r="C381" s="72"/>
      <c r="D381" s="54">
        <v>372</v>
      </c>
      <c r="E381" s="70">
        <v>44493.59</v>
      </c>
      <c r="F381" s="75">
        <v>8481</v>
      </c>
      <c r="G381" s="75">
        <v>85535</v>
      </c>
      <c r="H381" s="194">
        <v>329056</v>
      </c>
      <c r="I381" s="194">
        <v>12341.76</v>
      </c>
      <c r="J381" s="75">
        <v>81753.173721494197</v>
      </c>
      <c r="K381" s="73"/>
      <c r="M381" s="72"/>
      <c r="N381" s="54">
        <v>372</v>
      </c>
      <c r="O381" s="70">
        <v>63314.789999999964</v>
      </c>
      <c r="P381" s="75">
        <v>12736</v>
      </c>
      <c r="Q381" s="75">
        <v>85368</v>
      </c>
      <c r="R381" s="194">
        <v>341803.83999999997</v>
      </c>
      <c r="S381" s="194">
        <v>6268.4000000000005</v>
      </c>
      <c r="T381" s="70">
        <v>1560.1600000000008</v>
      </c>
      <c r="U381" s="80">
        <v>81753.173721494197</v>
      </c>
      <c r="V381" s="73"/>
      <c r="X381" s="30"/>
      <c r="Y381" s="54">
        <v>372</v>
      </c>
      <c r="Z381" s="70">
        <v>31842.55000000001</v>
      </c>
      <c r="AA381" s="75">
        <v>10628</v>
      </c>
      <c r="AB381" s="75">
        <v>7930</v>
      </c>
      <c r="AC381" s="75">
        <v>71370</v>
      </c>
      <c r="AD381" s="194">
        <v>311028.2</v>
      </c>
      <c r="AE381" s="194">
        <v>6965</v>
      </c>
      <c r="AF381" s="76">
        <v>0.1</v>
      </c>
      <c r="AG381" s="70">
        <v>3719.8000000000011</v>
      </c>
      <c r="AH381" s="31"/>
    </row>
    <row r="382" spans="3:34" x14ac:dyDescent="0.25">
      <c r="C382" s="72"/>
      <c r="D382" s="54">
        <v>373</v>
      </c>
      <c r="E382" s="70">
        <v>44493.59</v>
      </c>
      <c r="F382" s="75">
        <v>9299</v>
      </c>
      <c r="G382" s="75">
        <v>84717</v>
      </c>
      <c r="H382" s="194">
        <v>329056</v>
      </c>
      <c r="I382" s="194">
        <v>12341.76</v>
      </c>
      <c r="J382" s="75">
        <v>81753.173721494197</v>
      </c>
      <c r="K382" s="73"/>
      <c r="M382" s="72"/>
      <c r="N382" s="54">
        <v>373</v>
      </c>
      <c r="O382" s="70">
        <v>35239.032499999994</v>
      </c>
      <c r="P382" s="75">
        <v>10923</v>
      </c>
      <c r="Q382" s="75">
        <v>79005</v>
      </c>
      <c r="R382" s="194">
        <v>313409.9325</v>
      </c>
      <c r="S382" s="194">
        <v>5950.25</v>
      </c>
      <c r="T382" s="70">
        <v>1338.0675000000006</v>
      </c>
      <c r="U382" s="80">
        <v>81753.173721494197</v>
      </c>
      <c r="V382" s="73"/>
      <c r="X382" s="30"/>
      <c r="Y382" s="54">
        <v>373</v>
      </c>
      <c r="Z382" s="70">
        <v>44940.849999999977</v>
      </c>
      <c r="AA382" s="75">
        <v>13979</v>
      </c>
      <c r="AB382" s="75">
        <v>4802.22</v>
      </c>
      <c r="AC382" s="75">
        <v>75234.78</v>
      </c>
      <c r="AD382" s="194">
        <v>324163.34999999998</v>
      </c>
      <c r="AE382" s="194">
        <v>7001.85</v>
      </c>
      <c r="AF382" s="76">
        <v>0.06</v>
      </c>
      <c r="AG382" s="70">
        <v>4892.6500000000015</v>
      </c>
      <c r="AH382" s="31"/>
    </row>
    <row r="383" spans="3:34" x14ac:dyDescent="0.25">
      <c r="C383" s="72"/>
      <c r="D383" s="54">
        <v>374</v>
      </c>
      <c r="E383" s="70">
        <v>30635.27</v>
      </c>
      <c r="F383" s="75">
        <v>9004</v>
      </c>
      <c r="G383" s="75">
        <v>80924</v>
      </c>
      <c r="H383" s="194">
        <v>314748</v>
      </c>
      <c r="I383" s="194">
        <v>11892.08</v>
      </c>
      <c r="J383" s="75">
        <v>81753.173721494197</v>
      </c>
      <c r="K383" s="73"/>
      <c r="M383" s="72"/>
      <c r="N383" s="54">
        <v>374</v>
      </c>
      <c r="O383" s="70">
        <v>35049.517500000031</v>
      </c>
      <c r="P383" s="75">
        <v>13537</v>
      </c>
      <c r="Q383" s="75">
        <v>76391</v>
      </c>
      <c r="R383" s="194">
        <v>313089.71750000003</v>
      </c>
      <c r="S383" s="194">
        <v>5819.55</v>
      </c>
      <c r="T383" s="70">
        <v>1658.2825000000007</v>
      </c>
      <c r="U383" s="80">
        <v>81753.173721494197</v>
      </c>
      <c r="V383" s="73"/>
      <c r="X383" s="30"/>
      <c r="Y383" s="54">
        <v>374</v>
      </c>
      <c r="Z383" s="70">
        <v>45717.849999999977</v>
      </c>
      <c r="AA383" s="75">
        <v>11389</v>
      </c>
      <c r="AB383" s="75">
        <v>7436.4299999999994</v>
      </c>
      <c r="AC383" s="75">
        <v>75190.570000000007</v>
      </c>
      <c r="AD383" s="194">
        <v>325069.84999999998</v>
      </c>
      <c r="AE383" s="194">
        <v>7131.35</v>
      </c>
      <c r="AF383" s="76">
        <v>0.09</v>
      </c>
      <c r="AG383" s="70">
        <v>3986.150000000001</v>
      </c>
      <c r="AH383" s="31"/>
    </row>
    <row r="384" spans="3:34" x14ac:dyDescent="0.25">
      <c r="C384" s="72"/>
      <c r="D384" s="54">
        <v>375</v>
      </c>
      <c r="E384" s="70">
        <v>30635.27</v>
      </c>
      <c r="F384" s="75">
        <v>7219</v>
      </c>
      <c r="G384" s="75">
        <v>82709</v>
      </c>
      <c r="H384" s="194">
        <v>314748</v>
      </c>
      <c r="I384" s="194">
        <v>11892.08</v>
      </c>
      <c r="J384" s="75">
        <v>81753.173721494197</v>
      </c>
      <c r="K384" s="73"/>
      <c r="M384" s="72"/>
      <c r="N384" s="54">
        <v>375</v>
      </c>
      <c r="O384" s="70">
        <v>49315.444999999992</v>
      </c>
      <c r="P384" s="75">
        <v>11298</v>
      </c>
      <c r="Q384" s="75">
        <v>82718</v>
      </c>
      <c r="R384" s="194">
        <v>327671.995</v>
      </c>
      <c r="S384" s="194">
        <v>6135.9000000000005</v>
      </c>
      <c r="T384" s="70">
        <v>1384.0050000000006</v>
      </c>
      <c r="U384" s="80">
        <v>81753.173721494197</v>
      </c>
      <c r="V384" s="73"/>
      <c r="X384" s="30"/>
      <c r="Y384" s="54">
        <v>375</v>
      </c>
      <c r="Z384" s="70">
        <v>32318.650000000023</v>
      </c>
      <c r="AA384" s="75">
        <v>9041</v>
      </c>
      <c r="AB384" s="75">
        <v>7279.83</v>
      </c>
      <c r="AC384" s="75">
        <v>73607.17</v>
      </c>
      <c r="AD384" s="194">
        <v>311583.65000000002</v>
      </c>
      <c r="AE384" s="194">
        <v>7044.35</v>
      </c>
      <c r="AF384" s="76">
        <v>0.09</v>
      </c>
      <c r="AG384" s="70">
        <v>3164.3500000000008</v>
      </c>
      <c r="AH384" s="31"/>
    </row>
    <row r="385" spans="3:34" x14ac:dyDescent="0.25">
      <c r="C385" s="72"/>
      <c r="D385" s="54">
        <v>376</v>
      </c>
      <c r="E385" s="70">
        <v>44493.59</v>
      </c>
      <c r="F385" s="75">
        <v>5627</v>
      </c>
      <c r="G385" s="75">
        <v>88389</v>
      </c>
      <c r="H385" s="194">
        <v>329056</v>
      </c>
      <c r="I385" s="194">
        <v>12341.76</v>
      </c>
      <c r="J385" s="75">
        <v>81753.173721494197</v>
      </c>
      <c r="K385" s="73"/>
      <c r="M385" s="72"/>
      <c r="N385" s="54">
        <v>376</v>
      </c>
      <c r="O385" s="70">
        <v>91605.394999999975</v>
      </c>
      <c r="P385" s="75">
        <v>11538</v>
      </c>
      <c r="Q385" s="75">
        <v>94741</v>
      </c>
      <c r="R385" s="194">
        <v>370563.09499999997</v>
      </c>
      <c r="S385" s="194">
        <v>6737.05</v>
      </c>
      <c r="T385" s="70">
        <v>1413.4050000000007</v>
      </c>
      <c r="U385" s="80">
        <v>81753.173721494197</v>
      </c>
      <c r="V385" s="73"/>
      <c r="X385" s="30"/>
      <c r="Y385" s="54">
        <v>376</v>
      </c>
      <c r="Z385" s="70">
        <v>45159.55</v>
      </c>
      <c r="AA385" s="75">
        <v>13250</v>
      </c>
      <c r="AB385" s="75">
        <v>4038.3</v>
      </c>
      <c r="AC385" s="75">
        <v>76727.7</v>
      </c>
      <c r="AD385" s="194">
        <v>324418.5</v>
      </c>
      <c r="AE385" s="194">
        <v>7038.3</v>
      </c>
      <c r="AF385" s="76">
        <v>0.05</v>
      </c>
      <c r="AG385" s="70">
        <v>4637.5000000000009</v>
      </c>
      <c r="AH385" s="31"/>
    </row>
    <row r="386" spans="3:34" x14ac:dyDescent="0.25">
      <c r="C386" s="72"/>
      <c r="D386" s="54">
        <v>377</v>
      </c>
      <c r="E386" s="70">
        <v>44493.59</v>
      </c>
      <c r="F386" s="75">
        <v>8531</v>
      </c>
      <c r="G386" s="75">
        <v>85485</v>
      </c>
      <c r="H386" s="194">
        <v>329056</v>
      </c>
      <c r="I386" s="194">
        <v>12341.76</v>
      </c>
      <c r="J386" s="75">
        <v>81753.173721494197</v>
      </c>
      <c r="K386" s="73"/>
      <c r="M386" s="72"/>
      <c r="N386" s="54">
        <v>377</v>
      </c>
      <c r="O386" s="70">
        <v>35053.867500000008</v>
      </c>
      <c r="P386" s="75">
        <v>13477</v>
      </c>
      <c r="Q386" s="75">
        <v>76451</v>
      </c>
      <c r="R386" s="194">
        <v>313097.0675</v>
      </c>
      <c r="S386" s="194">
        <v>5822.55</v>
      </c>
      <c r="T386" s="70">
        <v>1650.9325000000008</v>
      </c>
      <c r="U386" s="80">
        <v>81753.173721494197</v>
      </c>
      <c r="V386" s="73"/>
      <c r="X386" s="30"/>
      <c r="Y386" s="54">
        <v>377</v>
      </c>
      <c r="Z386" s="70">
        <v>45722.05</v>
      </c>
      <c r="AA386" s="75">
        <v>11375</v>
      </c>
      <c r="AB386" s="75">
        <v>7437.69</v>
      </c>
      <c r="AC386" s="75">
        <v>75203.31</v>
      </c>
      <c r="AD386" s="194">
        <v>325074.75</v>
      </c>
      <c r="AE386" s="194">
        <v>7132.05</v>
      </c>
      <c r="AF386" s="76">
        <v>0.09</v>
      </c>
      <c r="AG386" s="70">
        <v>3981.2500000000009</v>
      </c>
      <c r="AH386" s="31"/>
    </row>
    <row r="387" spans="3:34" x14ac:dyDescent="0.25">
      <c r="C387" s="72"/>
      <c r="D387" s="54">
        <v>378</v>
      </c>
      <c r="E387" s="70">
        <v>44493.59</v>
      </c>
      <c r="F387" s="75">
        <v>6686</v>
      </c>
      <c r="G387" s="75">
        <v>87330</v>
      </c>
      <c r="H387" s="194">
        <v>329056</v>
      </c>
      <c r="I387" s="194">
        <v>12341.76</v>
      </c>
      <c r="J387" s="75">
        <v>81753.173721494197</v>
      </c>
      <c r="K387" s="73"/>
      <c r="M387" s="72"/>
      <c r="N387" s="54">
        <v>378</v>
      </c>
      <c r="O387" s="70">
        <v>49107.152499999989</v>
      </c>
      <c r="P387" s="75">
        <v>14171</v>
      </c>
      <c r="Q387" s="75">
        <v>79845</v>
      </c>
      <c r="R387" s="194">
        <v>327320.05249999999</v>
      </c>
      <c r="S387" s="194">
        <v>5992.25</v>
      </c>
      <c r="T387" s="70">
        <v>1735.9475000000007</v>
      </c>
      <c r="U387" s="80">
        <v>81753.173721494197</v>
      </c>
      <c r="V387" s="73"/>
      <c r="X387" s="30"/>
      <c r="Y387" s="54">
        <v>378</v>
      </c>
      <c r="Z387" s="70">
        <v>30965.349999999988</v>
      </c>
      <c r="AA387" s="75">
        <v>13552</v>
      </c>
      <c r="AB387" s="75">
        <v>5346.3200000000006</v>
      </c>
      <c r="AC387" s="75">
        <v>71029.679999999993</v>
      </c>
      <c r="AD387" s="194">
        <v>310004.8</v>
      </c>
      <c r="AE387" s="194">
        <v>6818.8</v>
      </c>
      <c r="AF387" s="76">
        <v>7.0000000000000007E-2</v>
      </c>
      <c r="AG387" s="70">
        <v>4743.2000000000016</v>
      </c>
      <c r="AH387" s="31"/>
    </row>
    <row r="388" spans="3:34" x14ac:dyDescent="0.25">
      <c r="C388" s="72"/>
      <c r="D388" s="54">
        <v>379</v>
      </c>
      <c r="E388" s="70">
        <v>58351.91</v>
      </c>
      <c r="F388" s="75">
        <v>5984</v>
      </c>
      <c r="G388" s="75">
        <v>92120</v>
      </c>
      <c r="H388" s="194">
        <v>343364</v>
      </c>
      <c r="I388" s="194">
        <v>12791.44</v>
      </c>
      <c r="J388" s="75">
        <v>81753.173721494197</v>
      </c>
      <c r="K388" s="73"/>
      <c r="M388" s="72"/>
      <c r="N388" s="54">
        <v>379</v>
      </c>
      <c r="O388" s="70">
        <v>49107.514999999978</v>
      </c>
      <c r="P388" s="75">
        <v>14166</v>
      </c>
      <c r="Q388" s="75">
        <v>79850</v>
      </c>
      <c r="R388" s="194">
        <v>327320.66499999998</v>
      </c>
      <c r="S388" s="194">
        <v>5992.5</v>
      </c>
      <c r="T388" s="70">
        <v>1735.3350000000007</v>
      </c>
      <c r="U388" s="80">
        <v>81753.173721494197</v>
      </c>
      <c r="V388" s="73"/>
      <c r="X388" s="30"/>
      <c r="Y388" s="54">
        <v>379</v>
      </c>
      <c r="Z388" s="70">
        <v>45696.849999999977</v>
      </c>
      <c r="AA388" s="75">
        <v>11459</v>
      </c>
      <c r="AB388" s="75">
        <v>8255.7000000000007</v>
      </c>
      <c r="AC388" s="75">
        <v>74301.3</v>
      </c>
      <c r="AD388" s="194">
        <v>325045.34999999998</v>
      </c>
      <c r="AE388" s="194">
        <v>7127.85</v>
      </c>
      <c r="AF388" s="76">
        <v>0.1</v>
      </c>
      <c r="AG388" s="70">
        <v>4010.650000000001</v>
      </c>
      <c r="AH388" s="31"/>
    </row>
    <row r="389" spans="3:34" x14ac:dyDescent="0.25">
      <c r="C389" s="72"/>
      <c r="D389" s="54">
        <v>380</v>
      </c>
      <c r="E389" s="70">
        <v>86065.16</v>
      </c>
      <c r="F389" s="75">
        <v>6397</v>
      </c>
      <c r="G389" s="75">
        <v>99882</v>
      </c>
      <c r="H389" s="194">
        <v>371976.5</v>
      </c>
      <c r="I389" s="194">
        <v>13690.69</v>
      </c>
      <c r="J389" s="75">
        <v>81753.173721494197</v>
      </c>
      <c r="K389" s="73"/>
      <c r="M389" s="72"/>
      <c r="N389" s="54">
        <v>380</v>
      </c>
      <c r="O389" s="70">
        <v>49111.139999999978</v>
      </c>
      <c r="P389" s="75">
        <v>14116</v>
      </c>
      <c r="Q389" s="75">
        <v>79900</v>
      </c>
      <c r="R389" s="194">
        <v>327326.78999999998</v>
      </c>
      <c r="S389" s="194">
        <v>5995</v>
      </c>
      <c r="T389" s="70">
        <v>1729.2100000000007</v>
      </c>
      <c r="U389" s="80">
        <v>81753.173721494197</v>
      </c>
      <c r="V389" s="73"/>
      <c r="X389" s="30"/>
      <c r="Y389" s="54">
        <v>380</v>
      </c>
      <c r="Z389" s="70">
        <v>46347.250000000022</v>
      </c>
      <c r="AA389" s="75">
        <v>9291</v>
      </c>
      <c r="AB389" s="75">
        <v>5930.7500000000009</v>
      </c>
      <c r="AC389" s="75">
        <v>78794.25</v>
      </c>
      <c r="AD389" s="194">
        <v>325804.15000000002</v>
      </c>
      <c r="AE389" s="194">
        <v>7236.25</v>
      </c>
      <c r="AF389" s="76">
        <v>7.0000000000000007E-2</v>
      </c>
      <c r="AG389" s="70">
        <v>3251.8500000000008</v>
      </c>
      <c r="AH389" s="31"/>
    </row>
    <row r="390" spans="3:34" x14ac:dyDescent="0.25">
      <c r="C390" s="72"/>
      <c r="D390" s="54">
        <v>381</v>
      </c>
      <c r="E390" s="70">
        <v>58351.91</v>
      </c>
      <c r="F390" s="75">
        <v>9664</v>
      </c>
      <c r="G390" s="75">
        <v>88440</v>
      </c>
      <c r="H390" s="194">
        <v>343364</v>
      </c>
      <c r="I390" s="194">
        <v>12791.44</v>
      </c>
      <c r="J390" s="75">
        <v>81753.173721494197</v>
      </c>
      <c r="K390" s="73"/>
      <c r="M390" s="72"/>
      <c r="N390" s="54">
        <v>381</v>
      </c>
      <c r="O390" s="70">
        <v>63317.907499999987</v>
      </c>
      <c r="P390" s="75">
        <v>12693</v>
      </c>
      <c r="Q390" s="75">
        <v>85411</v>
      </c>
      <c r="R390" s="194">
        <v>341809.10749999998</v>
      </c>
      <c r="S390" s="194">
        <v>6270.55</v>
      </c>
      <c r="T390" s="70">
        <v>1554.8925000000006</v>
      </c>
      <c r="U390" s="80">
        <v>81753.173721494197</v>
      </c>
      <c r="V390" s="73"/>
      <c r="X390" s="30"/>
      <c r="Y390" s="54">
        <v>381</v>
      </c>
      <c r="Z390" s="70">
        <v>87932.500000000015</v>
      </c>
      <c r="AA390" s="75">
        <v>11698</v>
      </c>
      <c r="AB390" s="75">
        <v>8512.2899999999991</v>
      </c>
      <c r="AC390" s="75">
        <v>86068.71</v>
      </c>
      <c r="AD390" s="194">
        <v>367882.2</v>
      </c>
      <c r="AE390" s="194">
        <v>7729.05</v>
      </c>
      <c r="AF390" s="76">
        <v>0.09</v>
      </c>
      <c r="AG390" s="70">
        <v>4094.3000000000011</v>
      </c>
      <c r="AH390" s="31"/>
    </row>
    <row r="391" spans="3:34" x14ac:dyDescent="0.25">
      <c r="C391" s="72"/>
      <c r="D391" s="54">
        <v>382</v>
      </c>
      <c r="E391" s="70">
        <v>30635.27</v>
      </c>
      <c r="F391" s="75">
        <v>6149</v>
      </c>
      <c r="G391" s="75">
        <v>83779</v>
      </c>
      <c r="H391" s="194">
        <v>314748</v>
      </c>
      <c r="I391" s="194">
        <v>11892.08</v>
      </c>
      <c r="J391" s="75">
        <v>81753.173721494197</v>
      </c>
      <c r="K391" s="73"/>
      <c r="M391" s="72"/>
      <c r="N391" s="54">
        <v>382</v>
      </c>
      <c r="O391" s="70">
        <v>49180.957500000004</v>
      </c>
      <c r="P391" s="75">
        <v>13153</v>
      </c>
      <c r="Q391" s="75">
        <v>80863</v>
      </c>
      <c r="R391" s="194">
        <v>327444.75750000001</v>
      </c>
      <c r="S391" s="194">
        <v>6043.15</v>
      </c>
      <c r="T391" s="70">
        <v>1611.2425000000007</v>
      </c>
      <c r="U391" s="80">
        <v>81753.173721494197</v>
      </c>
      <c r="V391" s="73"/>
      <c r="X391" s="30"/>
      <c r="Y391" s="54">
        <v>382</v>
      </c>
      <c r="Z391" s="70">
        <v>44955.250000000022</v>
      </c>
      <c r="AA391" s="75">
        <v>13931</v>
      </c>
      <c r="AB391" s="75">
        <v>6406.8</v>
      </c>
      <c r="AC391" s="75">
        <v>73678.2</v>
      </c>
      <c r="AD391" s="194">
        <v>324180.15000000002</v>
      </c>
      <c r="AE391" s="194">
        <v>7004.25</v>
      </c>
      <c r="AF391" s="76">
        <v>0.08</v>
      </c>
      <c r="AG391" s="70">
        <v>4875.8500000000013</v>
      </c>
      <c r="AH391" s="31"/>
    </row>
    <row r="392" spans="3:34" x14ac:dyDescent="0.25">
      <c r="C392" s="72"/>
      <c r="D392" s="54">
        <v>383</v>
      </c>
      <c r="E392" s="70">
        <v>44493.59</v>
      </c>
      <c r="F392" s="75">
        <v>8351</v>
      </c>
      <c r="G392" s="75">
        <v>85665</v>
      </c>
      <c r="H392" s="194">
        <v>329056</v>
      </c>
      <c r="I392" s="194">
        <v>12341.76</v>
      </c>
      <c r="J392" s="75">
        <v>81753.173721494197</v>
      </c>
      <c r="K392" s="73"/>
      <c r="M392" s="72"/>
      <c r="N392" s="54">
        <v>383</v>
      </c>
      <c r="O392" s="70">
        <v>35107.807500000017</v>
      </c>
      <c r="P392" s="75">
        <v>12733</v>
      </c>
      <c r="Q392" s="75">
        <v>77195</v>
      </c>
      <c r="R392" s="194">
        <v>313188.20750000002</v>
      </c>
      <c r="S392" s="194">
        <v>5859.75</v>
      </c>
      <c r="T392" s="70">
        <v>1559.7925000000007</v>
      </c>
      <c r="U392" s="80">
        <v>81753.173721494197</v>
      </c>
      <c r="V392" s="73"/>
      <c r="X392" s="30"/>
      <c r="Y392" s="54">
        <v>383</v>
      </c>
      <c r="Z392" s="70">
        <v>59684.65</v>
      </c>
      <c r="AA392" s="75">
        <v>11845</v>
      </c>
      <c r="AB392" s="75">
        <v>6038.130000000001</v>
      </c>
      <c r="AC392" s="75">
        <v>80220.87</v>
      </c>
      <c r="AD392" s="194">
        <v>339218.25</v>
      </c>
      <c r="AE392" s="194">
        <v>7312.95</v>
      </c>
      <c r="AF392" s="76">
        <v>7.0000000000000007E-2</v>
      </c>
      <c r="AG392" s="70">
        <v>4145.7500000000009</v>
      </c>
      <c r="AH392" s="31"/>
    </row>
    <row r="393" spans="3:34" x14ac:dyDescent="0.25">
      <c r="C393" s="72"/>
      <c r="D393" s="54">
        <v>384</v>
      </c>
      <c r="E393" s="70">
        <v>44493.59</v>
      </c>
      <c r="F393" s="75">
        <v>6606</v>
      </c>
      <c r="G393" s="75">
        <v>87410</v>
      </c>
      <c r="H393" s="194">
        <v>329056</v>
      </c>
      <c r="I393" s="194">
        <v>12341.76</v>
      </c>
      <c r="J393" s="75">
        <v>81753.173721494197</v>
      </c>
      <c r="K393" s="73"/>
      <c r="M393" s="72"/>
      <c r="N393" s="54">
        <v>384</v>
      </c>
      <c r="O393" s="70">
        <v>35376.420000000006</v>
      </c>
      <c r="P393" s="75">
        <v>9028</v>
      </c>
      <c r="Q393" s="75">
        <v>80900</v>
      </c>
      <c r="R393" s="194">
        <v>313642.07</v>
      </c>
      <c r="S393" s="194">
        <v>6045</v>
      </c>
      <c r="T393" s="70">
        <v>1105.9300000000005</v>
      </c>
      <c r="U393" s="80">
        <v>81753.173721494197</v>
      </c>
      <c r="V393" s="73"/>
      <c r="X393" s="30"/>
      <c r="Y393" s="54">
        <v>384</v>
      </c>
      <c r="Z393" s="70">
        <v>59743.449999999975</v>
      </c>
      <c r="AA393" s="75">
        <v>11649</v>
      </c>
      <c r="AB393" s="75">
        <v>5187.3</v>
      </c>
      <c r="AC393" s="75">
        <v>81267.7</v>
      </c>
      <c r="AD393" s="194">
        <v>339286.85</v>
      </c>
      <c r="AE393" s="194">
        <v>7322.75</v>
      </c>
      <c r="AF393" s="76">
        <v>0.06</v>
      </c>
      <c r="AG393" s="70">
        <v>4077.150000000001</v>
      </c>
      <c r="AH393" s="31"/>
    </row>
    <row r="394" spans="3:34" x14ac:dyDescent="0.25">
      <c r="C394" s="72"/>
      <c r="D394" s="54">
        <v>385</v>
      </c>
      <c r="E394" s="70">
        <v>30635.27</v>
      </c>
      <c r="F394" s="75">
        <v>5401</v>
      </c>
      <c r="G394" s="75">
        <v>84527</v>
      </c>
      <c r="H394" s="194">
        <v>314748</v>
      </c>
      <c r="I394" s="194">
        <v>11892.08</v>
      </c>
      <c r="J394" s="75">
        <v>81753.173721494197</v>
      </c>
      <c r="K394" s="73"/>
      <c r="M394" s="72"/>
      <c r="N394" s="54">
        <v>385</v>
      </c>
      <c r="O394" s="70">
        <v>49108.167500000018</v>
      </c>
      <c r="P394" s="75">
        <v>14157</v>
      </c>
      <c r="Q394" s="75">
        <v>79859</v>
      </c>
      <c r="R394" s="194">
        <v>327321.76750000002</v>
      </c>
      <c r="S394" s="194">
        <v>5992.9500000000007</v>
      </c>
      <c r="T394" s="70">
        <v>1734.2325000000008</v>
      </c>
      <c r="U394" s="80">
        <v>81753.173721494197</v>
      </c>
      <c r="V394" s="73"/>
      <c r="X394" s="30"/>
      <c r="Y394" s="54">
        <v>385</v>
      </c>
      <c r="Z394" s="70">
        <v>45483.849999999977</v>
      </c>
      <c r="AA394" s="75">
        <v>12169</v>
      </c>
      <c r="AB394" s="75">
        <v>4092.3500000000004</v>
      </c>
      <c r="AC394" s="75">
        <v>77754.649999999994</v>
      </c>
      <c r="AD394" s="194">
        <v>324796.84999999998</v>
      </c>
      <c r="AE394" s="194">
        <v>7092.35</v>
      </c>
      <c r="AF394" s="76">
        <v>0.05</v>
      </c>
      <c r="AG394" s="70">
        <v>4259.1500000000015</v>
      </c>
      <c r="AH394" s="31"/>
    </row>
    <row r="395" spans="3:34" x14ac:dyDescent="0.25">
      <c r="C395" s="72"/>
      <c r="D395" s="54">
        <v>386</v>
      </c>
      <c r="E395" s="70">
        <v>44493.59</v>
      </c>
      <c r="F395" s="75">
        <v>4819</v>
      </c>
      <c r="G395" s="75">
        <v>89197</v>
      </c>
      <c r="H395" s="194">
        <v>329056</v>
      </c>
      <c r="I395" s="194">
        <v>12341.76</v>
      </c>
      <c r="J395" s="75">
        <v>81753.173721494197</v>
      </c>
      <c r="K395" s="73"/>
      <c r="M395" s="72"/>
      <c r="N395" s="54">
        <v>386</v>
      </c>
      <c r="O395" s="70">
        <v>35325.452500000014</v>
      </c>
      <c r="P395" s="75">
        <v>9731</v>
      </c>
      <c r="Q395" s="75">
        <v>80197</v>
      </c>
      <c r="R395" s="194">
        <v>313555.95250000001</v>
      </c>
      <c r="S395" s="194">
        <v>6009.85</v>
      </c>
      <c r="T395" s="70">
        <v>1192.0475000000006</v>
      </c>
      <c r="U395" s="80">
        <v>81753.173721494197</v>
      </c>
      <c r="V395" s="73"/>
      <c r="X395" s="30"/>
      <c r="Y395" s="54">
        <v>386</v>
      </c>
      <c r="Z395" s="70">
        <v>45716.94999999999</v>
      </c>
      <c r="AA395" s="75">
        <v>11392</v>
      </c>
      <c r="AB395" s="75">
        <v>4957.4399999999996</v>
      </c>
      <c r="AC395" s="75">
        <v>77666.559999999998</v>
      </c>
      <c r="AD395" s="194">
        <v>325068.79999999999</v>
      </c>
      <c r="AE395" s="194">
        <v>7131.2</v>
      </c>
      <c r="AF395" s="76">
        <v>0.06</v>
      </c>
      <c r="AG395" s="70">
        <v>3987.2000000000012</v>
      </c>
      <c r="AH395" s="31"/>
    </row>
    <row r="396" spans="3:34" x14ac:dyDescent="0.25">
      <c r="C396" s="72"/>
      <c r="D396" s="54">
        <v>387</v>
      </c>
      <c r="E396" s="70">
        <v>86065.16</v>
      </c>
      <c r="F396" s="75">
        <v>10498</v>
      </c>
      <c r="G396" s="75">
        <v>95781</v>
      </c>
      <c r="H396" s="194">
        <v>371976.5</v>
      </c>
      <c r="I396" s="194">
        <v>13690.69</v>
      </c>
      <c r="J396" s="75">
        <v>81753.173721494197</v>
      </c>
      <c r="K396" s="73"/>
      <c r="M396" s="72"/>
      <c r="N396" s="54">
        <v>387</v>
      </c>
      <c r="O396" s="70">
        <v>49385.842500000006</v>
      </c>
      <c r="P396" s="75">
        <v>10327</v>
      </c>
      <c r="Q396" s="75">
        <v>83689</v>
      </c>
      <c r="R396" s="194">
        <v>327790.9425</v>
      </c>
      <c r="S396" s="194">
        <v>6184.45</v>
      </c>
      <c r="T396" s="70">
        <v>1265.0575000000006</v>
      </c>
      <c r="U396" s="80">
        <v>81753.173721494197</v>
      </c>
      <c r="V396" s="73"/>
      <c r="X396" s="30"/>
      <c r="Y396" s="54">
        <v>387</v>
      </c>
      <c r="Z396" s="70">
        <v>31010.95</v>
      </c>
      <c r="AA396" s="75">
        <v>13400</v>
      </c>
      <c r="AB396" s="75">
        <v>6122.24</v>
      </c>
      <c r="AC396" s="75">
        <v>70405.759999999995</v>
      </c>
      <c r="AD396" s="194">
        <v>310058</v>
      </c>
      <c r="AE396" s="194">
        <v>6826.4</v>
      </c>
      <c r="AF396" s="76">
        <v>0.08</v>
      </c>
      <c r="AG396" s="70">
        <v>4690.0000000000009</v>
      </c>
      <c r="AH396" s="31"/>
    </row>
    <row r="397" spans="3:34" x14ac:dyDescent="0.25">
      <c r="C397" s="72"/>
      <c r="D397" s="54">
        <v>388</v>
      </c>
      <c r="E397" s="70">
        <v>58351.91</v>
      </c>
      <c r="F397" s="75">
        <v>6806</v>
      </c>
      <c r="G397" s="75">
        <v>91298</v>
      </c>
      <c r="H397" s="194">
        <v>343364</v>
      </c>
      <c r="I397" s="194">
        <v>12791.44</v>
      </c>
      <c r="J397" s="75">
        <v>81753.173721494197</v>
      </c>
      <c r="K397" s="73"/>
      <c r="M397" s="72"/>
      <c r="N397" s="54">
        <v>388</v>
      </c>
      <c r="O397" s="70">
        <v>35183.569999999971</v>
      </c>
      <c r="P397" s="75">
        <v>11688</v>
      </c>
      <c r="Q397" s="75">
        <v>78240</v>
      </c>
      <c r="R397" s="194">
        <v>313316.21999999997</v>
      </c>
      <c r="S397" s="194">
        <v>5912</v>
      </c>
      <c r="T397" s="70">
        <v>1431.7800000000007</v>
      </c>
      <c r="U397" s="80">
        <v>81753.173721494197</v>
      </c>
      <c r="V397" s="73"/>
      <c r="X397" s="30"/>
      <c r="Y397" s="54">
        <v>388</v>
      </c>
      <c r="Z397" s="70">
        <v>86732.199999999983</v>
      </c>
      <c r="AA397" s="75">
        <v>15699</v>
      </c>
      <c r="AB397" s="75">
        <v>8152.2</v>
      </c>
      <c r="AC397" s="75">
        <v>82427.8</v>
      </c>
      <c r="AD397" s="194">
        <v>366481.85</v>
      </c>
      <c r="AE397" s="194">
        <v>7529</v>
      </c>
      <c r="AF397" s="76">
        <v>0.09</v>
      </c>
      <c r="AG397" s="70">
        <v>5494.6500000000015</v>
      </c>
      <c r="AH397" s="31"/>
    </row>
    <row r="398" spans="3:34" x14ac:dyDescent="0.25">
      <c r="C398" s="72"/>
      <c r="D398" s="54">
        <v>389</v>
      </c>
      <c r="E398" s="70">
        <v>58351.91</v>
      </c>
      <c r="F398" s="75">
        <v>8782</v>
      </c>
      <c r="G398" s="75">
        <v>89322</v>
      </c>
      <c r="H398" s="194">
        <v>343364</v>
      </c>
      <c r="I398" s="194">
        <v>12791.44</v>
      </c>
      <c r="J398" s="75">
        <v>81753.173721494197</v>
      </c>
      <c r="K398" s="73"/>
      <c r="M398" s="72"/>
      <c r="N398" s="54">
        <v>389</v>
      </c>
      <c r="O398" s="70">
        <v>63317.979999999981</v>
      </c>
      <c r="P398" s="75">
        <v>12692</v>
      </c>
      <c r="Q398" s="75">
        <v>85412</v>
      </c>
      <c r="R398" s="194">
        <v>341809.23</v>
      </c>
      <c r="S398" s="194">
        <v>6270.6</v>
      </c>
      <c r="T398" s="70">
        <v>1554.7700000000007</v>
      </c>
      <c r="U398" s="80">
        <v>81753.173721494197</v>
      </c>
      <c r="V398" s="73"/>
      <c r="X398" s="30"/>
      <c r="Y398" s="54">
        <v>389</v>
      </c>
      <c r="Z398" s="70">
        <v>45477.849999999977</v>
      </c>
      <c r="AA398" s="75">
        <v>12189</v>
      </c>
      <c r="AB398" s="75">
        <v>8182.7000000000007</v>
      </c>
      <c r="AC398" s="75">
        <v>73644.3</v>
      </c>
      <c r="AD398" s="194">
        <v>324789.84999999998</v>
      </c>
      <c r="AE398" s="194">
        <v>7091.35</v>
      </c>
      <c r="AF398" s="76">
        <v>0.1</v>
      </c>
      <c r="AG398" s="70">
        <v>4266.1500000000015</v>
      </c>
      <c r="AH398" s="31"/>
    </row>
    <row r="399" spans="3:34" x14ac:dyDescent="0.25">
      <c r="C399" s="72"/>
      <c r="D399" s="54">
        <v>390</v>
      </c>
      <c r="E399" s="70">
        <v>30635.27</v>
      </c>
      <c r="F399" s="75">
        <v>9034</v>
      </c>
      <c r="G399" s="75">
        <v>80894</v>
      </c>
      <c r="H399" s="194">
        <v>314748</v>
      </c>
      <c r="I399" s="194">
        <v>11892.08</v>
      </c>
      <c r="J399" s="75">
        <v>81753.173721494197</v>
      </c>
      <c r="K399" s="73"/>
      <c r="M399" s="72"/>
      <c r="N399" s="54">
        <v>390</v>
      </c>
      <c r="O399" s="70">
        <v>35183.932500000017</v>
      </c>
      <c r="P399" s="75">
        <v>11683</v>
      </c>
      <c r="Q399" s="75">
        <v>78245</v>
      </c>
      <c r="R399" s="194">
        <v>313316.83250000002</v>
      </c>
      <c r="S399" s="194">
        <v>5912.25</v>
      </c>
      <c r="T399" s="70">
        <v>1431.1675000000007</v>
      </c>
      <c r="U399" s="80">
        <v>81753.173721494197</v>
      </c>
      <c r="V399" s="73"/>
      <c r="X399" s="30"/>
      <c r="Y399" s="54">
        <v>390</v>
      </c>
      <c r="Z399" s="70">
        <v>59746.750000000015</v>
      </c>
      <c r="AA399" s="75">
        <v>11638</v>
      </c>
      <c r="AB399" s="75">
        <v>8646.6</v>
      </c>
      <c r="AC399" s="75">
        <v>77819.399999999994</v>
      </c>
      <c r="AD399" s="194">
        <v>339290.7</v>
      </c>
      <c r="AE399" s="194">
        <v>7323.3</v>
      </c>
      <c r="AF399" s="76">
        <v>0.1</v>
      </c>
      <c r="AG399" s="70">
        <v>4073.3000000000011</v>
      </c>
      <c r="AH399" s="31"/>
    </row>
    <row r="400" spans="3:34" x14ac:dyDescent="0.25">
      <c r="C400" s="72"/>
      <c r="D400" s="54">
        <v>391</v>
      </c>
      <c r="E400" s="70">
        <v>86065.16</v>
      </c>
      <c r="F400" s="75">
        <v>5307</v>
      </c>
      <c r="G400" s="75">
        <v>100972</v>
      </c>
      <c r="H400" s="194">
        <v>371976.5</v>
      </c>
      <c r="I400" s="194">
        <v>13690.69</v>
      </c>
      <c r="J400" s="75">
        <v>81753.173721494197</v>
      </c>
      <c r="K400" s="73"/>
      <c r="M400" s="72"/>
      <c r="N400" s="54">
        <v>391</v>
      </c>
      <c r="O400" s="70">
        <v>49319.142499999994</v>
      </c>
      <c r="P400" s="75">
        <v>11247</v>
      </c>
      <c r="Q400" s="75">
        <v>82769</v>
      </c>
      <c r="R400" s="194">
        <v>327678.24249999999</v>
      </c>
      <c r="S400" s="194">
        <v>6138.45</v>
      </c>
      <c r="T400" s="70">
        <v>1377.7575000000006</v>
      </c>
      <c r="U400" s="80">
        <v>81753.173721494197</v>
      </c>
      <c r="V400" s="73"/>
      <c r="X400" s="30"/>
      <c r="Y400" s="54">
        <v>391</v>
      </c>
      <c r="Z400" s="70">
        <v>44888.349999999977</v>
      </c>
      <c r="AA400" s="75">
        <v>14154</v>
      </c>
      <c r="AB400" s="75">
        <v>4791.72</v>
      </c>
      <c r="AC400" s="75">
        <v>75070.28</v>
      </c>
      <c r="AD400" s="194">
        <v>324102.09999999998</v>
      </c>
      <c r="AE400" s="194">
        <v>6993.1</v>
      </c>
      <c r="AF400" s="76">
        <v>0.06</v>
      </c>
      <c r="AG400" s="70">
        <v>4953.9000000000015</v>
      </c>
      <c r="AH400" s="31"/>
    </row>
    <row r="401" spans="3:34" x14ac:dyDescent="0.25">
      <c r="C401" s="72"/>
      <c r="D401" s="54">
        <v>392</v>
      </c>
      <c r="E401" s="70">
        <v>44493.59</v>
      </c>
      <c r="F401" s="75">
        <v>7575</v>
      </c>
      <c r="G401" s="75">
        <v>86441</v>
      </c>
      <c r="H401" s="194">
        <v>329056</v>
      </c>
      <c r="I401" s="194">
        <v>12341.76</v>
      </c>
      <c r="J401" s="75">
        <v>81753.173721494197</v>
      </c>
      <c r="K401" s="73"/>
      <c r="M401" s="72"/>
      <c r="N401" s="54">
        <v>392</v>
      </c>
      <c r="O401" s="70">
        <v>49229.532500000016</v>
      </c>
      <c r="P401" s="75">
        <v>12483</v>
      </c>
      <c r="Q401" s="75">
        <v>81533</v>
      </c>
      <c r="R401" s="194">
        <v>327526.83250000002</v>
      </c>
      <c r="S401" s="194">
        <v>6076.65</v>
      </c>
      <c r="T401" s="70">
        <v>1529.1675000000007</v>
      </c>
      <c r="U401" s="80">
        <v>81753.173721494197</v>
      </c>
      <c r="V401" s="73"/>
      <c r="X401" s="30"/>
      <c r="Y401" s="54">
        <v>392</v>
      </c>
      <c r="Z401" s="70">
        <v>46052.349999999977</v>
      </c>
      <c r="AA401" s="75">
        <v>10274</v>
      </c>
      <c r="AB401" s="75">
        <v>5024.5199999999995</v>
      </c>
      <c r="AC401" s="75">
        <v>78717.48</v>
      </c>
      <c r="AD401" s="194">
        <v>325460.09999999998</v>
      </c>
      <c r="AE401" s="194">
        <v>7187.1</v>
      </c>
      <c r="AF401" s="76">
        <v>0.06</v>
      </c>
      <c r="AG401" s="70">
        <v>3595.900000000001</v>
      </c>
      <c r="AH401" s="31"/>
    </row>
    <row r="402" spans="3:34" x14ac:dyDescent="0.25">
      <c r="C402" s="72"/>
      <c r="D402" s="54">
        <v>393</v>
      </c>
      <c r="E402" s="70">
        <v>58351.91</v>
      </c>
      <c r="F402" s="75">
        <v>9047</v>
      </c>
      <c r="G402" s="75">
        <v>89057</v>
      </c>
      <c r="H402" s="194">
        <v>343364</v>
      </c>
      <c r="I402" s="194">
        <v>12791.44</v>
      </c>
      <c r="J402" s="75">
        <v>81753.173721494197</v>
      </c>
      <c r="K402" s="73"/>
      <c r="M402" s="72"/>
      <c r="N402" s="54">
        <v>393</v>
      </c>
      <c r="O402" s="70">
        <v>49321.752499999966</v>
      </c>
      <c r="P402" s="75">
        <v>11211</v>
      </c>
      <c r="Q402" s="75">
        <v>82805</v>
      </c>
      <c r="R402" s="194">
        <v>327682.65249999997</v>
      </c>
      <c r="S402" s="194">
        <v>6140.25</v>
      </c>
      <c r="T402" s="70">
        <v>1373.3475000000005</v>
      </c>
      <c r="U402" s="80">
        <v>81753.173721494197</v>
      </c>
      <c r="V402" s="73"/>
      <c r="X402" s="30"/>
      <c r="Y402" s="54">
        <v>393</v>
      </c>
      <c r="Z402" s="70">
        <v>46288.150000000009</v>
      </c>
      <c r="AA402" s="75">
        <v>9488</v>
      </c>
      <c r="AB402" s="75">
        <v>5916.9600000000009</v>
      </c>
      <c r="AC402" s="75">
        <v>78611.039999999994</v>
      </c>
      <c r="AD402" s="194">
        <v>325735.2</v>
      </c>
      <c r="AE402" s="194">
        <v>7226.4000000000005</v>
      </c>
      <c r="AF402" s="76">
        <v>7.0000000000000007E-2</v>
      </c>
      <c r="AG402" s="70">
        <v>3320.8000000000006</v>
      </c>
      <c r="AH402" s="31"/>
    </row>
    <row r="403" spans="3:34" x14ac:dyDescent="0.25">
      <c r="C403" s="72"/>
      <c r="D403" s="54">
        <v>394</v>
      </c>
      <c r="E403" s="70">
        <v>44493.59</v>
      </c>
      <c r="F403" s="75">
        <v>8310</v>
      </c>
      <c r="G403" s="75">
        <v>85706</v>
      </c>
      <c r="H403" s="194">
        <v>329056</v>
      </c>
      <c r="I403" s="194">
        <v>12341.76</v>
      </c>
      <c r="J403" s="75">
        <v>81753.173721494197</v>
      </c>
      <c r="K403" s="73"/>
      <c r="M403" s="72"/>
      <c r="N403" s="54">
        <v>394</v>
      </c>
      <c r="O403" s="70">
        <v>49259.692499999983</v>
      </c>
      <c r="P403" s="75">
        <v>12067</v>
      </c>
      <c r="Q403" s="75">
        <v>81949</v>
      </c>
      <c r="R403" s="194">
        <v>327577.79249999998</v>
      </c>
      <c r="S403" s="194">
        <v>6097.45</v>
      </c>
      <c r="T403" s="70">
        <v>1478.2075000000007</v>
      </c>
      <c r="U403" s="80">
        <v>81753.173721494197</v>
      </c>
      <c r="V403" s="73"/>
      <c r="X403" s="30"/>
      <c r="Y403" s="54">
        <v>394</v>
      </c>
      <c r="Z403" s="70">
        <v>58871.049999999988</v>
      </c>
      <c r="AA403" s="75">
        <v>14557</v>
      </c>
      <c r="AB403" s="75">
        <v>6683.76</v>
      </c>
      <c r="AC403" s="75">
        <v>76863.240000000005</v>
      </c>
      <c r="AD403" s="194">
        <v>338269.05</v>
      </c>
      <c r="AE403" s="194">
        <v>7177.35</v>
      </c>
      <c r="AF403" s="76">
        <v>0.08</v>
      </c>
      <c r="AG403" s="70">
        <v>5094.9500000000016</v>
      </c>
      <c r="AH403" s="31"/>
    </row>
    <row r="404" spans="3:34" x14ac:dyDescent="0.25">
      <c r="C404" s="72"/>
      <c r="D404" s="54">
        <v>395</v>
      </c>
      <c r="E404" s="70">
        <v>30635.27</v>
      </c>
      <c r="F404" s="75">
        <v>4527</v>
      </c>
      <c r="G404" s="75">
        <v>85401</v>
      </c>
      <c r="H404" s="194">
        <v>314748</v>
      </c>
      <c r="I404" s="194">
        <v>11892.08</v>
      </c>
      <c r="J404" s="75">
        <v>81753.173721494197</v>
      </c>
      <c r="K404" s="73"/>
      <c r="M404" s="72"/>
      <c r="N404" s="54">
        <v>395</v>
      </c>
      <c r="O404" s="70">
        <v>35303.702500000014</v>
      </c>
      <c r="P404" s="75">
        <v>10031</v>
      </c>
      <c r="Q404" s="75">
        <v>79897</v>
      </c>
      <c r="R404" s="194">
        <v>313519.20250000001</v>
      </c>
      <c r="S404" s="194">
        <v>5994.85</v>
      </c>
      <c r="T404" s="70">
        <v>1228.7975000000006</v>
      </c>
      <c r="U404" s="80">
        <v>81753.173721494197</v>
      </c>
      <c r="V404" s="73"/>
      <c r="X404" s="30"/>
      <c r="Y404" s="54">
        <v>395</v>
      </c>
      <c r="Z404" s="70">
        <v>87925.60000000002</v>
      </c>
      <c r="AA404" s="75">
        <v>11721</v>
      </c>
      <c r="AB404" s="75">
        <v>9455.8000000000011</v>
      </c>
      <c r="AC404" s="75">
        <v>85102.2</v>
      </c>
      <c r="AD404" s="194">
        <v>367874.15</v>
      </c>
      <c r="AE404" s="194">
        <v>7727.9000000000005</v>
      </c>
      <c r="AF404" s="76">
        <v>0.1</v>
      </c>
      <c r="AG404" s="70">
        <v>4102.3500000000013</v>
      </c>
      <c r="AH404" s="31"/>
    </row>
    <row r="405" spans="3:34" x14ac:dyDescent="0.25">
      <c r="C405" s="72"/>
      <c r="D405" s="54">
        <v>396</v>
      </c>
      <c r="E405" s="70">
        <v>86065.16</v>
      </c>
      <c r="F405" s="75">
        <v>7467</v>
      </c>
      <c r="G405" s="75">
        <v>98812</v>
      </c>
      <c r="H405" s="194">
        <v>371976.5</v>
      </c>
      <c r="I405" s="194">
        <v>13690.69</v>
      </c>
      <c r="J405" s="75">
        <v>81753.173721494197</v>
      </c>
      <c r="K405" s="73"/>
      <c r="M405" s="72"/>
      <c r="N405" s="54">
        <v>396</v>
      </c>
      <c r="O405" s="70">
        <v>49167.037499999991</v>
      </c>
      <c r="P405" s="75">
        <v>13345</v>
      </c>
      <c r="Q405" s="75">
        <v>80671</v>
      </c>
      <c r="R405" s="194">
        <v>327421.23749999999</v>
      </c>
      <c r="S405" s="194">
        <v>6033.55</v>
      </c>
      <c r="T405" s="70">
        <v>1634.7625000000007</v>
      </c>
      <c r="U405" s="80">
        <v>81753.173721494197</v>
      </c>
      <c r="V405" s="73"/>
      <c r="X405" s="30"/>
      <c r="Y405" s="54">
        <v>396</v>
      </c>
      <c r="Z405" s="70">
        <v>31228.749999999978</v>
      </c>
      <c r="AA405" s="75">
        <v>12674</v>
      </c>
      <c r="AB405" s="75">
        <v>5407.7800000000007</v>
      </c>
      <c r="AC405" s="75">
        <v>71846.22</v>
      </c>
      <c r="AD405" s="194">
        <v>310312.09999999998</v>
      </c>
      <c r="AE405" s="194">
        <v>6862.7000000000007</v>
      </c>
      <c r="AF405" s="76">
        <v>7.0000000000000007E-2</v>
      </c>
      <c r="AG405" s="70">
        <v>4435.9000000000015</v>
      </c>
      <c r="AH405" s="31"/>
    </row>
    <row r="406" spans="3:34" x14ac:dyDescent="0.25">
      <c r="C406" s="72"/>
      <c r="D406" s="54">
        <v>397</v>
      </c>
      <c r="E406" s="70">
        <v>44493.59</v>
      </c>
      <c r="F406" s="75">
        <v>5596</v>
      </c>
      <c r="G406" s="75">
        <v>88420</v>
      </c>
      <c r="H406" s="194">
        <v>329056</v>
      </c>
      <c r="I406" s="194">
        <v>12341.76</v>
      </c>
      <c r="J406" s="75">
        <v>81753.173721494197</v>
      </c>
      <c r="K406" s="73"/>
      <c r="M406" s="72"/>
      <c r="N406" s="54">
        <v>397</v>
      </c>
      <c r="O406" s="70">
        <v>49172.112500000003</v>
      </c>
      <c r="P406" s="75">
        <v>13275</v>
      </c>
      <c r="Q406" s="75">
        <v>80741</v>
      </c>
      <c r="R406" s="194">
        <v>327429.8125</v>
      </c>
      <c r="S406" s="194">
        <v>6037.05</v>
      </c>
      <c r="T406" s="70">
        <v>1626.1875000000007</v>
      </c>
      <c r="U406" s="80">
        <v>81753.173721494197</v>
      </c>
      <c r="V406" s="73"/>
      <c r="X406" s="30"/>
      <c r="Y406" s="54">
        <v>397</v>
      </c>
      <c r="Z406" s="70">
        <v>31504.749999999978</v>
      </c>
      <c r="AA406" s="75">
        <v>11754</v>
      </c>
      <c r="AB406" s="75">
        <v>7035.66</v>
      </c>
      <c r="AC406" s="75">
        <v>71138.34</v>
      </c>
      <c r="AD406" s="194">
        <v>310634.09999999998</v>
      </c>
      <c r="AE406" s="194">
        <v>6908.7000000000007</v>
      </c>
      <c r="AF406" s="76">
        <v>0.09</v>
      </c>
      <c r="AG406" s="70">
        <v>4113.9000000000015</v>
      </c>
      <c r="AH406" s="31"/>
    </row>
    <row r="407" spans="3:34" x14ac:dyDescent="0.25">
      <c r="C407" s="72"/>
      <c r="D407" s="54">
        <v>398</v>
      </c>
      <c r="E407" s="70">
        <v>86065.16</v>
      </c>
      <c r="F407" s="75">
        <v>8599</v>
      </c>
      <c r="G407" s="75">
        <v>97680</v>
      </c>
      <c r="H407" s="194">
        <v>371976.5</v>
      </c>
      <c r="I407" s="194">
        <v>13690.69</v>
      </c>
      <c r="J407" s="75">
        <v>81753.173721494197</v>
      </c>
      <c r="K407" s="73"/>
      <c r="M407" s="72"/>
      <c r="N407" s="54">
        <v>398</v>
      </c>
      <c r="O407" s="70">
        <v>35177.262499999997</v>
      </c>
      <c r="P407" s="75">
        <v>11775</v>
      </c>
      <c r="Q407" s="75">
        <v>78153</v>
      </c>
      <c r="R407" s="194">
        <v>313305.5625</v>
      </c>
      <c r="S407" s="194">
        <v>5907.65</v>
      </c>
      <c r="T407" s="70">
        <v>1442.4375000000007</v>
      </c>
      <c r="U407" s="80">
        <v>81753.173721494197</v>
      </c>
      <c r="V407" s="73"/>
      <c r="X407" s="30"/>
      <c r="Y407" s="54">
        <v>398</v>
      </c>
      <c r="Z407" s="70">
        <v>87307.9</v>
      </c>
      <c r="AA407" s="75">
        <v>13780</v>
      </c>
      <c r="AB407" s="75">
        <v>9249.9</v>
      </c>
      <c r="AC407" s="75">
        <v>83249.100000000006</v>
      </c>
      <c r="AD407" s="194">
        <v>367153.5</v>
      </c>
      <c r="AE407" s="194">
        <v>7624.95</v>
      </c>
      <c r="AF407" s="76">
        <v>0.1</v>
      </c>
      <c r="AG407" s="70">
        <v>4823.0000000000009</v>
      </c>
      <c r="AH407" s="31"/>
    </row>
    <row r="408" spans="3:34" x14ac:dyDescent="0.25">
      <c r="C408" s="72"/>
      <c r="D408" s="54">
        <v>399</v>
      </c>
      <c r="E408" s="70">
        <v>30635.27</v>
      </c>
      <c r="F408" s="75">
        <v>5376</v>
      </c>
      <c r="G408" s="75">
        <v>84552</v>
      </c>
      <c r="H408" s="194">
        <v>314748</v>
      </c>
      <c r="I408" s="194">
        <v>11892.08</v>
      </c>
      <c r="J408" s="75">
        <v>81753.173721494197</v>
      </c>
      <c r="K408" s="73"/>
      <c r="M408" s="72"/>
      <c r="N408" s="54">
        <v>399</v>
      </c>
      <c r="O408" s="70">
        <v>49377.794999999969</v>
      </c>
      <c r="P408" s="75">
        <v>10438</v>
      </c>
      <c r="Q408" s="75">
        <v>83578</v>
      </c>
      <c r="R408" s="194">
        <v>327777.34499999997</v>
      </c>
      <c r="S408" s="194">
        <v>6178.9000000000005</v>
      </c>
      <c r="T408" s="70">
        <v>1278.6550000000007</v>
      </c>
      <c r="U408" s="80">
        <v>81753.173721494197</v>
      </c>
      <c r="V408" s="73"/>
      <c r="X408" s="30"/>
      <c r="Y408" s="54">
        <v>399</v>
      </c>
      <c r="Z408" s="70">
        <v>87604.000000000015</v>
      </c>
      <c r="AA408" s="75">
        <v>12793</v>
      </c>
      <c r="AB408" s="75">
        <v>6544.02</v>
      </c>
      <c r="AC408" s="75">
        <v>86941.98</v>
      </c>
      <c r="AD408" s="194">
        <v>367498.95</v>
      </c>
      <c r="AE408" s="194">
        <v>7674.3</v>
      </c>
      <c r="AF408" s="76">
        <v>7.0000000000000007E-2</v>
      </c>
      <c r="AG408" s="70">
        <v>4477.5500000000011</v>
      </c>
      <c r="AH408" s="31"/>
    </row>
    <row r="409" spans="3:34" x14ac:dyDescent="0.25">
      <c r="C409" s="72"/>
      <c r="D409" s="54">
        <v>400</v>
      </c>
      <c r="E409" s="70">
        <v>58351.91</v>
      </c>
      <c r="F409" s="75">
        <v>4942</v>
      </c>
      <c r="G409" s="75">
        <v>93162</v>
      </c>
      <c r="H409" s="194">
        <v>343364</v>
      </c>
      <c r="I409" s="194">
        <v>12791.44</v>
      </c>
      <c r="J409" s="75">
        <v>81753.173721494197</v>
      </c>
      <c r="K409" s="73"/>
      <c r="M409" s="72"/>
      <c r="N409" s="54">
        <v>400</v>
      </c>
      <c r="O409" s="70">
        <v>63247.437499999978</v>
      </c>
      <c r="P409" s="75">
        <v>13665</v>
      </c>
      <c r="Q409" s="75">
        <v>84439</v>
      </c>
      <c r="R409" s="194">
        <v>341690.03749999998</v>
      </c>
      <c r="S409" s="194">
        <v>6221.95</v>
      </c>
      <c r="T409" s="70">
        <v>1673.9625000000008</v>
      </c>
      <c r="U409" s="80">
        <v>81753.173721494197</v>
      </c>
      <c r="V409" s="73"/>
      <c r="X409" s="30"/>
      <c r="Y409" s="54">
        <v>400</v>
      </c>
      <c r="Z409" s="70">
        <v>31296.249999999978</v>
      </c>
      <c r="AA409" s="75">
        <v>12449</v>
      </c>
      <c r="AB409" s="75">
        <v>6198.32</v>
      </c>
      <c r="AC409" s="75">
        <v>71280.679999999993</v>
      </c>
      <c r="AD409" s="194">
        <v>310390.84999999998</v>
      </c>
      <c r="AE409" s="194">
        <v>6873.9500000000007</v>
      </c>
      <c r="AF409" s="76">
        <v>0.08</v>
      </c>
      <c r="AG409" s="70">
        <v>4357.1500000000015</v>
      </c>
      <c r="AH409" s="31"/>
    </row>
    <row r="410" spans="3:34" x14ac:dyDescent="0.25">
      <c r="C410" s="72"/>
      <c r="D410" s="54">
        <v>401</v>
      </c>
      <c r="E410" s="70">
        <v>44493.59</v>
      </c>
      <c r="F410" s="75">
        <v>4609</v>
      </c>
      <c r="G410" s="75">
        <v>89407</v>
      </c>
      <c r="H410" s="194">
        <v>329056</v>
      </c>
      <c r="I410" s="194">
        <v>12341.76</v>
      </c>
      <c r="J410" s="75">
        <v>81753.173721494197</v>
      </c>
      <c r="K410" s="73"/>
      <c r="M410" s="72"/>
      <c r="N410" s="54">
        <v>401</v>
      </c>
      <c r="O410" s="70">
        <v>49185.887500000026</v>
      </c>
      <c r="P410" s="75">
        <v>13085</v>
      </c>
      <c r="Q410" s="75">
        <v>80931</v>
      </c>
      <c r="R410" s="194">
        <v>327453.08750000002</v>
      </c>
      <c r="S410" s="194">
        <v>6046.55</v>
      </c>
      <c r="T410" s="70">
        <v>1602.9125000000006</v>
      </c>
      <c r="U410" s="80">
        <v>81753.173721494197</v>
      </c>
      <c r="V410" s="73"/>
      <c r="X410" s="30"/>
      <c r="Y410" s="54">
        <v>401</v>
      </c>
      <c r="Z410" s="70">
        <v>45410.05</v>
      </c>
      <c r="AA410" s="75">
        <v>12415</v>
      </c>
      <c r="AB410" s="75">
        <v>4896.0599999999995</v>
      </c>
      <c r="AC410" s="75">
        <v>76704.94</v>
      </c>
      <c r="AD410" s="194">
        <v>324710.75</v>
      </c>
      <c r="AE410" s="194">
        <v>7080.05</v>
      </c>
      <c r="AF410" s="76">
        <v>0.06</v>
      </c>
      <c r="AG410" s="70">
        <v>4345.2500000000009</v>
      </c>
      <c r="AH410" s="31"/>
    </row>
    <row r="411" spans="3:34" x14ac:dyDescent="0.25">
      <c r="C411" s="72"/>
      <c r="D411" s="54">
        <v>402</v>
      </c>
      <c r="E411" s="70">
        <v>86065.16</v>
      </c>
      <c r="F411" s="75">
        <v>7314</v>
      </c>
      <c r="G411" s="75">
        <v>98965</v>
      </c>
      <c r="H411" s="194">
        <v>371976.5</v>
      </c>
      <c r="I411" s="194">
        <v>13690.69</v>
      </c>
      <c r="J411" s="75">
        <v>81753.173721494197</v>
      </c>
      <c r="K411" s="73"/>
      <c r="M411" s="72"/>
      <c r="N411" s="54">
        <v>402</v>
      </c>
      <c r="O411" s="70">
        <v>49312.980000000018</v>
      </c>
      <c r="P411" s="75">
        <v>11332</v>
      </c>
      <c r="Q411" s="75">
        <v>82684</v>
      </c>
      <c r="R411" s="194">
        <v>327667.83</v>
      </c>
      <c r="S411" s="194">
        <v>6134.2</v>
      </c>
      <c r="T411" s="70">
        <v>1388.1700000000005</v>
      </c>
      <c r="U411" s="80">
        <v>81753.173721494197</v>
      </c>
      <c r="V411" s="73"/>
      <c r="X411" s="30"/>
      <c r="Y411" s="54">
        <v>402</v>
      </c>
      <c r="Z411" s="70">
        <v>30992.650000000023</v>
      </c>
      <c r="AA411" s="75">
        <v>13461</v>
      </c>
      <c r="AB411" s="75">
        <v>7646.7000000000007</v>
      </c>
      <c r="AC411" s="75">
        <v>68820.3</v>
      </c>
      <c r="AD411" s="194">
        <v>310036.65000000002</v>
      </c>
      <c r="AE411" s="194">
        <v>6823.35</v>
      </c>
      <c r="AF411" s="76">
        <v>0.1</v>
      </c>
      <c r="AG411" s="70">
        <v>4711.3500000000013</v>
      </c>
      <c r="AH411" s="31"/>
    </row>
    <row r="412" spans="3:34" x14ac:dyDescent="0.25">
      <c r="C412" s="72"/>
      <c r="D412" s="54">
        <v>403</v>
      </c>
      <c r="E412" s="70">
        <v>58351.91</v>
      </c>
      <c r="F412" s="75">
        <v>8863</v>
      </c>
      <c r="G412" s="75">
        <v>89241</v>
      </c>
      <c r="H412" s="194">
        <v>343364</v>
      </c>
      <c r="I412" s="194">
        <v>12791.44</v>
      </c>
      <c r="J412" s="75">
        <v>81753.173721494197</v>
      </c>
      <c r="K412" s="73"/>
      <c r="M412" s="72"/>
      <c r="N412" s="54">
        <v>403</v>
      </c>
      <c r="O412" s="70">
        <v>49101.352500000001</v>
      </c>
      <c r="P412" s="75">
        <v>14251</v>
      </c>
      <c r="Q412" s="75">
        <v>79765</v>
      </c>
      <c r="R412" s="194">
        <v>327310.2525</v>
      </c>
      <c r="S412" s="194">
        <v>5988.25</v>
      </c>
      <c r="T412" s="70">
        <v>1745.7475000000009</v>
      </c>
      <c r="U412" s="80">
        <v>81753.173721494197</v>
      </c>
      <c r="V412" s="73"/>
      <c r="X412" s="30"/>
      <c r="Y412" s="54">
        <v>403</v>
      </c>
      <c r="Z412" s="70">
        <v>59089.15</v>
      </c>
      <c r="AA412" s="75">
        <v>13830</v>
      </c>
      <c r="AB412" s="75">
        <v>4213.7</v>
      </c>
      <c r="AC412" s="75">
        <v>80060.3</v>
      </c>
      <c r="AD412" s="194">
        <v>338523.5</v>
      </c>
      <c r="AE412" s="194">
        <v>7213.7</v>
      </c>
      <c r="AF412" s="76">
        <v>0.05</v>
      </c>
      <c r="AG412" s="70">
        <v>4840.5000000000009</v>
      </c>
      <c r="AH412" s="31"/>
    </row>
    <row r="413" spans="3:34" x14ac:dyDescent="0.25">
      <c r="C413" s="72"/>
      <c r="D413" s="54">
        <v>404</v>
      </c>
      <c r="E413" s="70">
        <v>58351.91</v>
      </c>
      <c r="F413" s="75">
        <v>5081</v>
      </c>
      <c r="G413" s="75">
        <v>93023</v>
      </c>
      <c r="H413" s="194">
        <v>343364</v>
      </c>
      <c r="I413" s="194">
        <v>12791.44</v>
      </c>
      <c r="J413" s="75">
        <v>81753.173721494197</v>
      </c>
      <c r="K413" s="73"/>
      <c r="M413" s="72"/>
      <c r="N413" s="54">
        <v>404</v>
      </c>
      <c r="O413" s="70">
        <v>49393.165000000001</v>
      </c>
      <c r="P413" s="75">
        <v>10226</v>
      </c>
      <c r="Q413" s="75">
        <v>83790</v>
      </c>
      <c r="R413" s="194">
        <v>327803.315</v>
      </c>
      <c r="S413" s="194">
        <v>6189.5</v>
      </c>
      <c r="T413" s="70">
        <v>1252.6850000000006</v>
      </c>
      <c r="U413" s="80">
        <v>81753.173721494197</v>
      </c>
      <c r="V413" s="73"/>
      <c r="X413" s="30"/>
      <c r="Y413" s="54">
        <v>404</v>
      </c>
      <c r="Z413" s="70">
        <v>59739.549999999988</v>
      </c>
      <c r="AA413" s="75">
        <v>11662</v>
      </c>
      <c r="AB413" s="75">
        <v>6050.9400000000005</v>
      </c>
      <c r="AC413" s="75">
        <v>80391.06</v>
      </c>
      <c r="AD413" s="194">
        <v>339282.3</v>
      </c>
      <c r="AE413" s="194">
        <v>7322.1</v>
      </c>
      <c r="AF413" s="76">
        <v>7.0000000000000007E-2</v>
      </c>
      <c r="AG413" s="70">
        <v>4081.7000000000012</v>
      </c>
      <c r="AH413" s="31"/>
    </row>
    <row r="414" spans="3:34" x14ac:dyDescent="0.25">
      <c r="C414" s="72"/>
      <c r="D414" s="54">
        <v>405</v>
      </c>
      <c r="E414" s="70">
        <v>44493.59</v>
      </c>
      <c r="F414" s="75">
        <v>7566</v>
      </c>
      <c r="G414" s="75">
        <v>86450</v>
      </c>
      <c r="H414" s="194">
        <v>329056</v>
      </c>
      <c r="I414" s="194">
        <v>12341.76</v>
      </c>
      <c r="J414" s="75">
        <v>81753.173721494197</v>
      </c>
      <c r="K414" s="73"/>
      <c r="M414" s="72"/>
      <c r="N414" s="54">
        <v>405</v>
      </c>
      <c r="O414" s="70">
        <v>63158.044999999998</v>
      </c>
      <c r="P414" s="75">
        <v>14898</v>
      </c>
      <c r="Q414" s="75">
        <v>83206</v>
      </c>
      <c r="R414" s="194">
        <v>341538.995</v>
      </c>
      <c r="S414" s="194">
        <v>6160.3</v>
      </c>
      <c r="T414" s="70">
        <v>1825.0050000000008</v>
      </c>
      <c r="U414" s="80">
        <v>81753.173721494197</v>
      </c>
      <c r="V414" s="73"/>
      <c r="X414" s="30"/>
      <c r="Y414" s="54">
        <v>405</v>
      </c>
      <c r="Z414" s="70">
        <v>45244.150000000009</v>
      </c>
      <c r="AA414" s="75">
        <v>12968</v>
      </c>
      <c r="AB414" s="75">
        <v>8104.8</v>
      </c>
      <c r="AC414" s="75">
        <v>72943.199999999997</v>
      </c>
      <c r="AD414" s="194">
        <v>324517.2</v>
      </c>
      <c r="AE414" s="194">
        <v>7052.4</v>
      </c>
      <c r="AF414" s="76">
        <v>0.1</v>
      </c>
      <c r="AG414" s="70">
        <v>4538.8000000000011</v>
      </c>
      <c r="AH414" s="31"/>
    </row>
    <row r="415" spans="3:34" x14ac:dyDescent="0.25">
      <c r="C415" s="72"/>
      <c r="D415" s="54">
        <v>406</v>
      </c>
      <c r="E415" s="70">
        <v>86065.16</v>
      </c>
      <c r="F415" s="75">
        <v>9436</v>
      </c>
      <c r="G415" s="75">
        <v>96843</v>
      </c>
      <c r="H415" s="194">
        <v>371976.5</v>
      </c>
      <c r="I415" s="194">
        <v>13690.69</v>
      </c>
      <c r="J415" s="75">
        <v>81753.173721494197</v>
      </c>
      <c r="K415" s="73"/>
      <c r="M415" s="72"/>
      <c r="N415" s="54">
        <v>406</v>
      </c>
      <c r="O415" s="70">
        <v>91689.49500000001</v>
      </c>
      <c r="P415" s="75">
        <v>10378</v>
      </c>
      <c r="Q415" s="75">
        <v>95901</v>
      </c>
      <c r="R415" s="194">
        <v>370705.19500000001</v>
      </c>
      <c r="S415" s="194">
        <v>6795.05</v>
      </c>
      <c r="T415" s="70">
        <v>1271.3050000000005</v>
      </c>
      <c r="U415" s="80">
        <v>81753.173721494197</v>
      </c>
      <c r="V415" s="73"/>
      <c r="X415" s="30"/>
      <c r="Y415" s="54">
        <v>406</v>
      </c>
      <c r="Z415" s="70">
        <v>46296.250000000022</v>
      </c>
      <c r="AA415" s="75">
        <v>9461</v>
      </c>
      <c r="AB415" s="75">
        <v>8455.5</v>
      </c>
      <c r="AC415" s="75">
        <v>76099.5</v>
      </c>
      <c r="AD415" s="194">
        <v>325744.65000000002</v>
      </c>
      <c r="AE415" s="194">
        <v>7227.75</v>
      </c>
      <c r="AF415" s="76">
        <v>0.1</v>
      </c>
      <c r="AG415" s="70">
        <v>3311.3500000000008</v>
      </c>
      <c r="AH415" s="31"/>
    </row>
    <row r="416" spans="3:34" x14ac:dyDescent="0.25">
      <c r="C416" s="72"/>
      <c r="D416" s="54">
        <v>407</v>
      </c>
      <c r="E416" s="70">
        <v>58351.91</v>
      </c>
      <c r="F416" s="75">
        <v>8839</v>
      </c>
      <c r="G416" s="75">
        <v>89265</v>
      </c>
      <c r="H416" s="194">
        <v>343364</v>
      </c>
      <c r="I416" s="194">
        <v>12791.44</v>
      </c>
      <c r="J416" s="75">
        <v>81753.173721494197</v>
      </c>
      <c r="K416" s="73"/>
      <c r="M416" s="72"/>
      <c r="N416" s="54">
        <v>407</v>
      </c>
      <c r="O416" s="70">
        <v>49246.932499999981</v>
      </c>
      <c r="P416" s="75">
        <v>12243</v>
      </c>
      <c r="Q416" s="75">
        <v>81773</v>
      </c>
      <c r="R416" s="194">
        <v>327556.23249999998</v>
      </c>
      <c r="S416" s="194">
        <v>6088.65</v>
      </c>
      <c r="T416" s="70">
        <v>1499.7675000000006</v>
      </c>
      <c r="U416" s="80">
        <v>81753.173721494197</v>
      </c>
      <c r="V416" s="73"/>
      <c r="X416" s="30"/>
      <c r="Y416" s="54">
        <v>407</v>
      </c>
      <c r="Z416" s="70">
        <v>45989.05</v>
      </c>
      <c r="AA416" s="75">
        <v>10485</v>
      </c>
      <c r="AB416" s="75">
        <v>6682.4800000000005</v>
      </c>
      <c r="AC416" s="75">
        <v>76848.52</v>
      </c>
      <c r="AD416" s="194">
        <v>325386.25</v>
      </c>
      <c r="AE416" s="194">
        <v>7176.55</v>
      </c>
      <c r="AF416" s="76">
        <v>0.08</v>
      </c>
      <c r="AG416" s="70">
        <v>3669.7500000000009</v>
      </c>
      <c r="AH416" s="31"/>
    </row>
    <row r="417" spans="3:34" x14ac:dyDescent="0.25">
      <c r="C417" s="72"/>
      <c r="D417" s="54">
        <v>408</v>
      </c>
      <c r="E417" s="70">
        <v>86065.16</v>
      </c>
      <c r="F417" s="75">
        <v>8510</v>
      </c>
      <c r="G417" s="75">
        <v>97769</v>
      </c>
      <c r="H417" s="194">
        <v>371976.5</v>
      </c>
      <c r="I417" s="194">
        <v>13690.69</v>
      </c>
      <c r="J417" s="75">
        <v>81753.173721494197</v>
      </c>
      <c r="K417" s="73"/>
      <c r="M417" s="72"/>
      <c r="N417" s="54">
        <v>408</v>
      </c>
      <c r="O417" s="70">
        <v>49391.787499999991</v>
      </c>
      <c r="P417" s="75">
        <v>10245</v>
      </c>
      <c r="Q417" s="75">
        <v>83771</v>
      </c>
      <c r="R417" s="194">
        <v>327800.98749999999</v>
      </c>
      <c r="S417" s="194">
        <v>6188.55</v>
      </c>
      <c r="T417" s="70">
        <v>1255.0125000000005</v>
      </c>
      <c r="U417" s="80">
        <v>81753.173721494197</v>
      </c>
      <c r="V417" s="73"/>
      <c r="X417" s="30"/>
      <c r="Y417" s="54">
        <v>408</v>
      </c>
      <c r="Z417" s="70">
        <v>45142.44999999999</v>
      </c>
      <c r="AA417" s="75">
        <v>13307</v>
      </c>
      <c r="AB417" s="75">
        <v>5649.63</v>
      </c>
      <c r="AC417" s="75">
        <v>75059.37</v>
      </c>
      <c r="AD417" s="194">
        <v>324398.55</v>
      </c>
      <c r="AE417" s="194">
        <v>7035.4500000000007</v>
      </c>
      <c r="AF417" s="76">
        <v>7.0000000000000007E-2</v>
      </c>
      <c r="AG417" s="70">
        <v>4657.4500000000007</v>
      </c>
      <c r="AH417" s="31"/>
    </row>
    <row r="418" spans="3:34" x14ac:dyDescent="0.25">
      <c r="C418" s="72"/>
      <c r="D418" s="54">
        <v>409</v>
      </c>
      <c r="E418" s="70">
        <v>86065.16</v>
      </c>
      <c r="F418" s="75">
        <v>8534</v>
      </c>
      <c r="G418" s="75">
        <v>97745</v>
      </c>
      <c r="H418" s="194">
        <v>371976.5</v>
      </c>
      <c r="I418" s="194">
        <v>13690.69</v>
      </c>
      <c r="J418" s="75">
        <v>81753.173721494197</v>
      </c>
      <c r="K418" s="73"/>
      <c r="M418" s="72"/>
      <c r="N418" s="54">
        <v>409</v>
      </c>
      <c r="O418" s="70">
        <v>49456.530000000006</v>
      </c>
      <c r="P418" s="75">
        <v>9352</v>
      </c>
      <c r="Q418" s="75">
        <v>84664</v>
      </c>
      <c r="R418" s="194">
        <v>327910.38</v>
      </c>
      <c r="S418" s="194">
        <v>6233.2</v>
      </c>
      <c r="T418" s="70">
        <v>1145.6200000000006</v>
      </c>
      <c r="U418" s="80">
        <v>81753.173721494197</v>
      </c>
      <c r="V418" s="73"/>
      <c r="X418" s="30"/>
      <c r="Y418" s="54">
        <v>409</v>
      </c>
      <c r="Z418" s="70">
        <v>59697.85000000002</v>
      </c>
      <c r="AA418" s="75">
        <v>11801</v>
      </c>
      <c r="AB418" s="75">
        <v>8630.3000000000011</v>
      </c>
      <c r="AC418" s="75">
        <v>77672.7</v>
      </c>
      <c r="AD418" s="194">
        <v>339233.65</v>
      </c>
      <c r="AE418" s="194">
        <v>7315.1500000000005</v>
      </c>
      <c r="AF418" s="76">
        <v>0.1</v>
      </c>
      <c r="AG418" s="70">
        <v>4130.3500000000013</v>
      </c>
      <c r="AH418" s="31"/>
    </row>
    <row r="419" spans="3:34" x14ac:dyDescent="0.25">
      <c r="C419" s="72"/>
      <c r="D419" s="54">
        <v>410</v>
      </c>
      <c r="E419" s="70">
        <v>86065.16</v>
      </c>
      <c r="F419" s="75">
        <v>10472</v>
      </c>
      <c r="G419" s="75">
        <v>95807</v>
      </c>
      <c r="H419" s="194">
        <v>371976.5</v>
      </c>
      <c r="I419" s="194">
        <v>13690.69</v>
      </c>
      <c r="J419" s="75">
        <v>81753.173721494197</v>
      </c>
      <c r="K419" s="73"/>
      <c r="M419" s="72"/>
      <c r="N419" s="54">
        <v>410</v>
      </c>
      <c r="O419" s="70">
        <v>49318.925000000003</v>
      </c>
      <c r="P419" s="75">
        <v>11250</v>
      </c>
      <c r="Q419" s="75">
        <v>82766</v>
      </c>
      <c r="R419" s="194">
        <v>327677.875</v>
      </c>
      <c r="S419" s="194">
        <v>6138.3</v>
      </c>
      <c r="T419" s="70">
        <v>1378.1250000000007</v>
      </c>
      <c r="U419" s="80">
        <v>81753.173721494197</v>
      </c>
      <c r="V419" s="73"/>
      <c r="X419" s="30"/>
      <c r="Y419" s="54">
        <v>410</v>
      </c>
      <c r="Z419" s="70">
        <v>31450.749999999978</v>
      </c>
      <c r="AA419" s="75">
        <v>11934</v>
      </c>
      <c r="AB419" s="75">
        <v>3899.7000000000003</v>
      </c>
      <c r="AC419" s="75">
        <v>74094.3</v>
      </c>
      <c r="AD419" s="194">
        <v>310571.09999999998</v>
      </c>
      <c r="AE419" s="194">
        <v>6899.7000000000007</v>
      </c>
      <c r="AF419" s="76">
        <v>0.05</v>
      </c>
      <c r="AG419" s="70">
        <v>4176.9000000000015</v>
      </c>
      <c r="AH419" s="31"/>
    </row>
    <row r="420" spans="3:34" x14ac:dyDescent="0.25">
      <c r="C420" s="72"/>
      <c r="D420" s="54">
        <v>411</v>
      </c>
      <c r="E420" s="70">
        <v>44493.59</v>
      </c>
      <c r="F420" s="75">
        <v>4662</v>
      </c>
      <c r="G420" s="75">
        <v>89354</v>
      </c>
      <c r="H420" s="194">
        <v>329056</v>
      </c>
      <c r="I420" s="194">
        <v>12341.76</v>
      </c>
      <c r="J420" s="75">
        <v>81753.173721494197</v>
      </c>
      <c r="K420" s="73"/>
      <c r="M420" s="72"/>
      <c r="N420" s="54">
        <v>411</v>
      </c>
      <c r="O420" s="70">
        <v>35373.084999999999</v>
      </c>
      <c r="P420" s="75">
        <v>9074</v>
      </c>
      <c r="Q420" s="75">
        <v>80854</v>
      </c>
      <c r="R420" s="194">
        <v>313636.435</v>
      </c>
      <c r="S420" s="194">
        <v>6042.7000000000007</v>
      </c>
      <c r="T420" s="70">
        <v>1111.5650000000005</v>
      </c>
      <c r="U420" s="80">
        <v>81753.173721494197</v>
      </c>
      <c r="V420" s="73"/>
      <c r="X420" s="30"/>
      <c r="Y420" s="54">
        <v>411</v>
      </c>
      <c r="Z420" s="70">
        <v>45464.650000000009</v>
      </c>
      <c r="AA420" s="75">
        <v>12233</v>
      </c>
      <c r="AB420" s="75">
        <v>7360.4699999999993</v>
      </c>
      <c r="AC420" s="75">
        <v>74422.53</v>
      </c>
      <c r="AD420" s="194">
        <v>324774.45</v>
      </c>
      <c r="AE420" s="194">
        <v>7089.15</v>
      </c>
      <c r="AF420" s="76">
        <v>0.09</v>
      </c>
      <c r="AG420" s="70">
        <v>4281.5500000000011</v>
      </c>
      <c r="AH420" s="31"/>
    </row>
    <row r="421" spans="3:34" x14ac:dyDescent="0.25">
      <c r="C421" s="72"/>
      <c r="D421" s="54">
        <v>412</v>
      </c>
      <c r="E421" s="70">
        <v>30635.27</v>
      </c>
      <c r="F421" s="75">
        <v>4580</v>
      </c>
      <c r="G421" s="75">
        <v>85348</v>
      </c>
      <c r="H421" s="194">
        <v>314748</v>
      </c>
      <c r="I421" s="194">
        <v>11892.08</v>
      </c>
      <c r="J421" s="75">
        <v>81753.173721494197</v>
      </c>
      <c r="K421" s="73"/>
      <c r="M421" s="72"/>
      <c r="N421" s="54">
        <v>412</v>
      </c>
      <c r="O421" s="70">
        <v>35377.942500000019</v>
      </c>
      <c r="P421" s="75">
        <v>9007</v>
      </c>
      <c r="Q421" s="75">
        <v>80921</v>
      </c>
      <c r="R421" s="194">
        <v>313644.64250000002</v>
      </c>
      <c r="S421" s="194">
        <v>6046.05</v>
      </c>
      <c r="T421" s="70">
        <v>1103.3575000000005</v>
      </c>
      <c r="U421" s="80">
        <v>81753.173721494197</v>
      </c>
      <c r="V421" s="73"/>
      <c r="X421" s="30"/>
      <c r="Y421" s="54">
        <v>412</v>
      </c>
      <c r="Z421" s="70">
        <v>44911.750000000022</v>
      </c>
      <c r="AA421" s="75">
        <v>14076</v>
      </c>
      <c r="AB421" s="75">
        <v>4796.3999999999996</v>
      </c>
      <c r="AC421" s="75">
        <v>75143.600000000006</v>
      </c>
      <c r="AD421" s="194">
        <v>324129.40000000002</v>
      </c>
      <c r="AE421" s="194">
        <v>6997</v>
      </c>
      <c r="AF421" s="76">
        <v>0.06</v>
      </c>
      <c r="AG421" s="70">
        <v>4926.6000000000013</v>
      </c>
      <c r="AH421" s="31"/>
    </row>
    <row r="422" spans="3:34" x14ac:dyDescent="0.25">
      <c r="C422" s="72"/>
      <c r="D422" s="54">
        <v>413</v>
      </c>
      <c r="E422" s="70">
        <v>58351.91</v>
      </c>
      <c r="F422" s="75">
        <v>9803</v>
      </c>
      <c r="G422" s="75">
        <v>88301</v>
      </c>
      <c r="H422" s="194">
        <v>343364</v>
      </c>
      <c r="I422" s="194">
        <v>12791.44</v>
      </c>
      <c r="J422" s="75">
        <v>81753.173721494197</v>
      </c>
      <c r="K422" s="73"/>
      <c r="M422" s="72"/>
      <c r="N422" s="54">
        <v>413</v>
      </c>
      <c r="O422" s="70">
        <v>49103.237500000003</v>
      </c>
      <c r="P422" s="75">
        <v>14225</v>
      </c>
      <c r="Q422" s="75">
        <v>79791</v>
      </c>
      <c r="R422" s="194">
        <v>327313.4375</v>
      </c>
      <c r="S422" s="194">
        <v>5989.55</v>
      </c>
      <c r="T422" s="70">
        <v>1742.5625000000007</v>
      </c>
      <c r="U422" s="80">
        <v>81753.173721494197</v>
      </c>
      <c r="V422" s="73"/>
      <c r="X422" s="30"/>
      <c r="Y422" s="54">
        <v>413</v>
      </c>
      <c r="Z422" s="70">
        <v>59675.949999999975</v>
      </c>
      <c r="AA422" s="75">
        <v>11874</v>
      </c>
      <c r="AB422" s="75">
        <v>4311.5</v>
      </c>
      <c r="AC422" s="75">
        <v>81918.5</v>
      </c>
      <c r="AD422" s="194">
        <v>339208.1</v>
      </c>
      <c r="AE422" s="194">
        <v>7311.5</v>
      </c>
      <c r="AF422" s="76">
        <v>0.05</v>
      </c>
      <c r="AG422" s="70">
        <v>4155.9000000000015</v>
      </c>
      <c r="AH422" s="31"/>
    </row>
    <row r="423" spans="3:34" x14ac:dyDescent="0.25">
      <c r="C423" s="72"/>
      <c r="D423" s="54">
        <v>414</v>
      </c>
      <c r="E423" s="70">
        <v>30635.27</v>
      </c>
      <c r="F423" s="75">
        <v>7114</v>
      </c>
      <c r="G423" s="75">
        <v>82814</v>
      </c>
      <c r="H423" s="194">
        <v>314748</v>
      </c>
      <c r="I423" s="194">
        <v>11892.08</v>
      </c>
      <c r="J423" s="75">
        <v>81753.173721494197</v>
      </c>
      <c r="K423" s="73"/>
      <c r="M423" s="72"/>
      <c r="N423" s="54">
        <v>414</v>
      </c>
      <c r="O423" s="70">
        <v>49448.409999999974</v>
      </c>
      <c r="P423" s="75">
        <v>9464</v>
      </c>
      <c r="Q423" s="75">
        <v>84552</v>
      </c>
      <c r="R423" s="194">
        <v>327896.65999999997</v>
      </c>
      <c r="S423" s="194">
        <v>6227.6</v>
      </c>
      <c r="T423" s="70">
        <v>1159.3400000000006</v>
      </c>
      <c r="U423" s="80">
        <v>81753.173721494197</v>
      </c>
      <c r="V423" s="73"/>
      <c r="X423" s="30"/>
      <c r="Y423" s="54">
        <v>414</v>
      </c>
      <c r="Z423" s="70">
        <v>59127.250000000015</v>
      </c>
      <c r="AA423" s="75">
        <v>13703</v>
      </c>
      <c r="AB423" s="75">
        <v>6752.08</v>
      </c>
      <c r="AC423" s="75">
        <v>77648.92</v>
      </c>
      <c r="AD423" s="194">
        <v>338567.95</v>
      </c>
      <c r="AE423" s="194">
        <v>7220.05</v>
      </c>
      <c r="AF423" s="76">
        <v>0.08</v>
      </c>
      <c r="AG423" s="70">
        <v>4796.0500000000011</v>
      </c>
      <c r="AH423" s="31"/>
    </row>
    <row r="424" spans="3:34" x14ac:dyDescent="0.25">
      <c r="C424" s="72"/>
      <c r="D424" s="54">
        <v>415</v>
      </c>
      <c r="E424" s="70">
        <v>44493.59</v>
      </c>
      <c r="F424" s="75">
        <v>8469</v>
      </c>
      <c r="G424" s="75">
        <v>85547</v>
      </c>
      <c r="H424" s="194">
        <v>329056</v>
      </c>
      <c r="I424" s="194">
        <v>12341.76</v>
      </c>
      <c r="J424" s="75">
        <v>81753.173721494197</v>
      </c>
      <c r="K424" s="73"/>
      <c r="M424" s="72"/>
      <c r="N424" s="54">
        <v>415</v>
      </c>
      <c r="O424" s="70">
        <v>91523.107499999998</v>
      </c>
      <c r="P424" s="75">
        <v>12673</v>
      </c>
      <c r="Q424" s="75">
        <v>93606</v>
      </c>
      <c r="R424" s="194">
        <v>370424.0575</v>
      </c>
      <c r="S424" s="194">
        <v>6680.3</v>
      </c>
      <c r="T424" s="70">
        <v>1552.4425000000006</v>
      </c>
      <c r="U424" s="80">
        <v>81753.173721494197</v>
      </c>
      <c r="V424" s="73"/>
      <c r="X424" s="30"/>
      <c r="Y424" s="54">
        <v>415</v>
      </c>
      <c r="Z424" s="70">
        <v>45743.349999999977</v>
      </c>
      <c r="AA424" s="75">
        <v>11304</v>
      </c>
      <c r="AB424" s="75">
        <v>4962.72</v>
      </c>
      <c r="AC424" s="75">
        <v>77749.279999999999</v>
      </c>
      <c r="AD424" s="194">
        <v>325099.59999999998</v>
      </c>
      <c r="AE424" s="194">
        <v>7135.6</v>
      </c>
      <c r="AF424" s="76">
        <v>0.06</v>
      </c>
      <c r="AG424" s="70">
        <v>3956.400000000001</v>
      </c>
      <c r="AH424" s="31"/>
    </row>
    <row r="425" spans="3:34" x14ac:dyDescent="0.25">
      <c r="C425" s="72"/>
      <c r="D425" s="54">
        <v>416</v>
      </c>
      <c r="E425" s="70">
        <v>58351.91</v>
      </c>
      <c r="F425" s="75">
        <v>5892</v>
      </c>
      <c r="G425" s="75">
        <v>92212</v>
      </c>
      <c r="H425" s="194">
        <v>343364</v>
      </c>
      <c r="I425" s="194">
        <v>12791.44</v>
      </c>
      <c r="J425" s="75">
        <v>81753.173721494197</v>
      </c>
      <c r="K425" s="73"/>
      <c r="M425" s="72"/>
      <c r="N425" s="54">
        <v>416</v>
      </c>
      <c r="O425" s="70">
        <v>91367.16</v>
      </c>
      <c r="P425" s="75">
        <v>14824</v>
      </c>
      <c r="Q425" s="75">
        <v>91455</v>
      </c>
      <c r="R425" s="194">
        <v>370160.56</v>
      </c>
      <c r="S425" s="194">
        <v>6572.75</v>
      </c>
      <c r="T425" s="70">
        <v>1815.9400000000007</v>
      </c>
      <c r="U425" s="80">
        <v>81753.173721494197</v>
      </c>
      <c r="V425" s="73"/>
      <c r="X425" s="30"/>
      <c r="Y425" s="54">
        <v>416</v>
      </c>
      <c r="Z425" s="70">
        <v>45454.44999999999</v>
      </c>
      <c r="AA425" s="75">
        <v>12267</v>
      </c>
      <c r="AB425" s="75">
        <v>6539.92</v>
      </c>
      <c r="AC425" s="75">
        <v>75209.08</v>
      </c>
      <c r="AD425" s="194">
        <v>324762.55</v>
      </c>
      <c r="AE425" s="194">
        <v>7087.4500000000007</v>
      </c>
      <c r="AF425" s="76">
        <v>0.08</v>
      </c>
      <c r="AG425" s="70">
        <v>4293.4500000000007</v>
      </c>
      <c r="AH425" s="31"/>
    </row>
    <row r="426" spans="3:34" x14ac:dyDescent="0.25">
      <c r="C426" s="72"/>
      <c r="D426" s="54">
        <v>417</v>
      </c>
      <c r="E426" s="70">
        <v>58351.91</v>
      </c>
      <c r="F426" s="75">
        <v>7996</v>
      </c>
      <c r="G426" s="75">
        <v>90108</v>
      </c>
      <c r="H426" s="194">
        <v>343364</v>
      </c>
      <c r="I426" s="194">
        <v>12791.44</v>
      </c>
      <c r="J426" s="75">
        <v>81753.173721494197</v>
      </c>
      <c r="K426" s="73"/>
      <c r="M426" s="72"/>
      <c r="N426" s="54">
        <v>417</v>
      </c>
      <c r="O426" s="70">
        <v>49463.127500000024</v>
      </c>
      <c r="P426" s="75">
        <v>9261</v>
      </c>
      <c r="Q426" s="75">
        <v>84755</v>
      </c>
      <c r="R426" s="194">
        <v>327921.52750000003</v>
      </c>
      <c r="S426" s="194">
        <v>6237.75</v>
      </c>
      <c r="T426" s="70">
        <v>1134.4725000000005</v>
      </c>
      <c r="U426" s="80">
        <v>81753.173721494197</v>
      </c>
      <c r="V426" s="73"/>
      <c r="X426" s="30"/>
      <c r="Y426" s="54">
        <v>417</v>
      </c>
      <c r="Z426" s="70">
        <v>45175.44999999999</v>
      </c>
      <c r="AA426" s="75">
        <v>13197</v>
      </c>
      <c r="AB426" s="75">
        <v>4040.9500000000003</v>
      </c>
      <c r="AC426" s="75">
        <v>76778.05</v>
      </c>
      <c r="AD426" s="194">
        <v>324437.05</v>
      </c>
      <c r="AE426" s="194">
        <v>7040.9500000000007</v>
      </c>
      <c r="AF426" s="76">
        <v>0.05</v>
      </c>
      <c r="AG426" s="70">
        <v>4618.9500000000007</v>
      </c>
      <c r="AH426" s="31"/>
    </row>
    <row r="427" spans="3:34" x14ac:dyDescent="0.25">
      <c r="C427" s="72"/>
      <c r="D427" s="54">
        <v>418</v>
      </c>
      <c r="E427" s="70">
        <v>86065.16</v>
      </c>
      <c r="F427" s="75">
        <v>8523</v>
      </c>
      <c r="G427" s="75">
        <v>97756</v>
      </c>
      <c r="H427" s="194">
        <v>371976.5</v>
      </c>
      <c r="I427" s="194">
        <v>13690.69</v>
      </c>
      <c r="J427" s="75">
        <v>81753.173721494197</v>
      </c>
      <c r="K427" s="73"/>
      <c r="M427" s="72"/>
      <c r="N427" s="54">
        <v>418</v>
      </c>
      <c r="O427" s="70">
        <v>49164.137500000026</v>
      </c>
      <c r="P427" s="75">
        <v>13385</v>
      </c>
      <c r="Q427" s="75">
        <v>80631</v>
      </c>
      <c r="R427" s="194">
        <v>327416.33750000002</v>
      </c>
      <c r="S427" s="194">
        <v>6031.55</v>
      </c>
      <c r="T427" s="70">
        <v>1639.6625000000008</v>
      </c>
      <c r="U427" s="80">
        <v>81753.173721494197</v>
      </c>
      <c r="V427" s="73"/>
      <c r="X427" s="30"/>
      <c r="Y427" s="54">
        <v>418</v>
      </c>
      <c r="Z427" s="70">
        <v>60032.049999999988</v>
      </c>
      <c r="AA427" s="75">
        <v>10687</v>
      </c>
      <c r="AB427" s="75">
        <v>8741.7000000000007</v>
      </c>
      <c r="AC427" s="75">
        <v>78675.3</v>
      </c>
      <c r="AD427" s="194">
        <v>339623.55</v>
      </c>
      <c r="AE427" s="194">
        <v>7370.85</v>
      </c>
      <c r="AF427" s="76">
        <v>0.1</v>
      </c>
      <c r="AG427" s="70">
        <v>3740.4500000000007</v>
      </c>
      <c r="AH427" s="31"/>
    </row>
    <row r="428" spans="3:34" x14ac:dyDescent="0.25">
      <c r="C428" s="72"/>
      <c r="D428" s="54">
        <v>419</v>
      </c>
      <c r="E428" s="70">
        <v>58351.91</v>
      </c>
      <c r="F428" s="75">
        <v>9862</v>
      </c>
      <c r="G428" s="75">
        <v>88242</v>
      </c>
      <c r="H428" s="194">
        <v>343364</v>
      </c>
      <c r="I428" s="194">
        <v>12791.44</v>
      </c>
      <c r="J428" s="75">
        <v>81753.173721494197</v>
      </c>
      <c r="K428" s="73"/>
      <c r="M428" s="72"/>
      <c r="N428" s="54">
        <v>419</v>
      </c>
      <c r="O428" s="70">
        <v>49443.552500000013</v>
      </c>
      <c r="P428" s="75">
        <v>9531</v>
      </c>
      <c r="Q428" s="75">
        <v>84485</v>
      </c>
      <c r="R428" s="194">
        <v>327888.45250000001</v>
      </c>
      <c r="S428" s="194">
        <v>6224.25</v>
      </c>
      <c r="T428" s="70">
        <v>1167.5475000000006</v>
      </c>
      <c r="U428" s="80">
        <v>81753.173721494197</v>
      </c>
      <c r="V428" s="73"/>
      <c r="X428" s="30"/>
      <c r="Y428" s="54">
        <v>419</v>
      </c>
      <c r="Z428" s="70">
        <v>45474.250000000022</v>
      </c>
      <c r="AA428" s="75">
        <v>12201</v>
      </c>
      <c r="AB428" s="75">
        <v>8181.5</v>
      </c>
      <c r="AC428" s="75">
        <v>73633.5</v>
      </c>
      <c r="AD428" s="194">
        <v>324785.65000000002</v>
      </c>
      <c r="AE428" s="194">
        <v>7090.75</v>
      </c>
      <c r="AF428" s="76">
        <v>0.1</v>
      </c>
      <c r="AG428" s="70">
        <v>4270.3500000000013</v>
      </c>
      <c r="AH428" s="31"/>
    </row>
    <row r="429" spans="3:34" x14ac:dyDescent="0.25">
      <c r="C429" s="72"/>
      <c r="D429" s="54">
        <v>420</v>
      </c>
      <c r="E429" s="70">
        <v>44493.59</v>
      </c>
      <c r="F429" s="75">
        <v>5733</v>
      </c>
      <c r="G429" s="75">
        <v>88283</v>
      </c>
      <c r="H429" s="194">
        <v>329056</v>
      </c>
      <c r="I429" s="194">
        <v>12341.76</v>
      </c>
      <c r="J429" s="75">
        <v>81753.173721494197</v>
      </c>
      <c r="K429" s="73"/>
      <c r="M429" s="72"/>
      <c r="N429" s="54">
        <v>420</v>
      </c>
      <c r="O429" s="70">
        <v>49176.244999999981</v>
      </c>
      <c r="P429" s="75">
        <v>13218</v>
      </c>
      <c r="Q429" s="75">
        <v>80798</v>
      </c>
      <c r="R429" s="194">
        <v>327436.79499999998</v>
      </c>
      <c r="S429" s="194">
        <v>6039.9</v>
      </c>
      <c r="T429" s="70">
        <v>1619.2050000000006</v>
      </c>
      <c r="U429" s="80">
        <v>81753.173721494197</v>
      </c>
      <c r="V429" s="73"/>
      <c r="X429" s="30"/>
      <c r="Y429" s="54">
        <v>420</v>
      </c>
      <c r="Z429" s="70">
        <v>60327.250000000015</v>
      </c>
      <c r="AA429" s="75">
        <v>9703</v>
      </c>
      <c r="AB429" s="75">
        <v>7956.09</v>
      </c>
      <c r="AC429" s="75">
        <v>80444.91</v>
      </c>
      <c r="AD429" s="194">
        <v>339967.95</v>
      </c>
      <c r="AE429" s="194">
        <v>7420.05</v>
      </c>
      <c r="AF429" s="76">
        <v>0.09</v>
      </c>
      <c r="AG429" s="70">
        <v>3396.0500000000006</v>
      </c>
      <c r="AH429" s="31"/>
    </row>
    <row r="430" spans="3:34" x14ac:dyDescent="0.25">
      <c r="C430" s="72"/>
      <c r="D430" s="54">
        <v>421</v>
      </c>
      <c r="E430" s="70">
        <v>44493.59</v>
      </c>
      <c r="F430" s="75">
        <v>7474</v>
      </c>
      <c r="G430" s="75">
        <v>86542</v>
      </c>
      <c r="H430" s="194">
        <v>329056</v>
      </c>
      <c r="I430" s="194">
        <v>12341.76</v>
      </c>
      <c r="J430" s="75">
        <v>81753.173721494197</v>
      </c>
      <c r="K430" s="73"/>
      <c r="M430" s="72"/>
      <c r="N430" s="54">
        <v>421</v>
      </c>
      <c r="O430" s="70">
        <v>49255.342500000006</v>
      </c>
      <c r="P430" s="75">
        <v>12127</v>
      </c>
      <c r="Q430" s="75">
        <v>81889</v>
      </c>
      <c r="R430" s="194">
        <v>327570.4425</v>
      </c>
      <c r="S430" s="194">
        <v>6094.4500000000007</v>
      </c>
      <c r="T430" s="70">
        <v>1485.5575000000006</v>
      </c>
      <c r="U430" s="80">
        <v>81753.173721494197</v>
      </c>
      <c r="V430" s="73"/>
      <c r="X430" s="30"/>
      <c r="Y430" s="54">
        <v>421</v>
      </c>
      <c r="Z430" s="70">
        <v>87592.9</v>
      </c>
      <c r="AA430" s="75">
        <v>12830</v>
      </c>
      <c r="AB430" s="75">
        <v>6541.43</v>
      </c>
      <c r="AC430" s="75">
        <v>86907.57</v>
      </c>
      <c r="AD430" s="194">
        <v>367486</v>
      </c>
      <c r="AE430" s="194">
        <v>7672.45</v>
      </c>
      <c r="AF430" s="76">
        <v>7.0000000000000007E-2</v>
      </c>
      <c r="AG430" s="70">
        <v>4490.5000000000009</v>
      </c>
      <c r="AH430" s="31"/>
    </row>
    <row r="431" spans="3:34" x14ac:dyDescent="0.25">
      <c r="C431" s="72"/>
      <c r="D431" s="54">
        <v>422</v>
      </c>
      <c r="E431" s="70">
        <v>58351.91</v>
      </c>
      <c r="F431" s="75">
        <v>6946</v>
      </c>
      <c r="G431" s="75">
        <v>91158</v>
      </c>
      <c r="H431" s="194">
        <v>343364</v>
      </c>
      <c r="I431" s="194">
        <v>12791.44</v>
      </c>
      <c r="J431" s="75">
        <v>81753.173721494197</v>
      </c>
      <c r="K431" s="73"/>
      <c r="M431" s="72"/>
      <c r="N431" s="54">
        <v>422</v>
      </c>
      <c r="O431" s="70">
        <v>63243.667499999981</v>
      </c>
      <c r="P431" s="75">
        <v>13717</v>
      </c>
      <c r="Q431" s="75">
        <v>84387</v>
      </c>
      <c r="R431" s="194">
        <v>341683.66749999998</v>
      </c>
      <c r="S431" s="194">
        <v>6219.35</v>
      </c>
      <c r="T431" s="70">
        <v>1680.3325000000007</v>
      </c>
      <c r="U431" s="80">
        <v>81753.173721494197</v>
      </c>
      <c r="V431" s="73"/>
      <c r="X431" s="30"/>
      <c r="Y431" s="54">
        <v>422</v>
      </c>
      <c r="Z431" s="70">
        <v>60320.65</v>
      </c>
      <c r="AA431" s="75">
        <v>9725</v>
      </c>
      <c r="AB431" s="75">
        <v>8837.9</v>
      </c>
      <c r="AC431" s="75">
        <v>79541.100000000006</v>
      </c>
      <c r="AD431" s="194">
        <v>339960.25</v>
      </c>
      <c r="AE431" s="194">
        <v>7418.95</v>
      </c>
      <c r="AF431" s="76">
        <v>0.1</v>
      </c>
      <c r="AG431" s="70">
        <v>3403.7500000000009</v>
      </c>
      <c r="AH431" s="31"/>
    </row>
    <row r="432" spans="3:34" x14ac:dyDescent="0.25">
      <c r="C432" s="72"/>
      <c r="D432" s="54">
        <v>423</v>
      </c>
      <c r="E432" s="70">
        <v>44493.59</v>
      </c>
      <c r="F432" s="75">
        <v>4684</v>
      </c>
      <c r="G432" s="75">
        <v>89332</v>
      </c>
      <c r="H432" s="194">
        <v>329056</v>
      </c>
      <c r="I432" s="194">
        <v>12341.76</v>
      </c>
      <c r="J432" s="75">
        <v>81753.173721494197</v>
      </c>
      <c r="K432" s="73"/>
      <c r="M432" s="72"/>
      <c r="N432" s="54">
        <v>423</v>
      </c>
      <c r="O432" s="70">
        <v>49176.027499999989</v>
      </c>
      <c r="P432" s="75">
        <v>13221</v>
      </c>
      <c r="Q432" s="75">
        <v>80795</v>
      </c>
      <c r="R432" s="194">
        <v>327436.42749999999</v>
      </c>
      <c r="S432" s="194">
        <v>6039.75</v>
      </c>
      <c r="T432" s="70">
        <v>1619.5725000000007</v>
      </c>
      <c r="U432" s="80">
        <v>81753.173721494197</v>
      </c>
      <c r="V432" s="73"/>
      <c r="X432" s="30"/>
      <c r="Y432" s="54">
        <v>423</v>
      </c>
      <c r="Z432" s="70">
        <v>31314.849999999988</v>
      </c>
      <c r="AA432" s="75">
        <v>12387</v>
      </c>
      <c r="AB432" s="75">
        <v>6978.69</v>
      </c>
      <c r="AC432" s="75">
        <v>70562.31</v>
      </c>
      <c r="AD432" s="194">
        <v>310412.55</v>
      </c>
      <c r="AE432" s="194">
        <v>6877.05</v>
      </c>
      <c r="AF432" s="76">
        <v>0.09</v>
      </c>
      <c r="AG432" s="70">
        <v>4335.4500000000007</v>
      </c>
      <c r="AH432" s="31"/>
    </row>
    <row r="433" spans="3:34" x14ac:dyDescent="0.25">
      <c r="C433" s="72"/>
      <c r="D433" s="54">
        <v>424</v>
      </c>
      <c r="E433" s="70">
        <v>86065.16</v>
      </c>
      <c r="F433" s="75">
        <v>5353</v>
      </c>
      <c r="G433" s="75">
        <v>100926</v>
      </c>
      <c r="H433" s="194">
        <v>371976.5</v>
      </c>
      <c r="I433" s="194">
        <v>13690.69</v>
      </c>
      <c r="J433" s="75">
        <v>81753.173721494197</v>
      </c>
      <c r="K433" s="73"/>
      <c r="M433" s="72"/>
      <c r="N433" s="54">
        <v>424</v>
      </c>
      <c r="O433" s="70">
        <v>91365.13</v>
      </c>
      <c r="P433" s="75">
        <v>14852</v>
      </c>
      <c r="Q433" s="75">
        <v>91427</v>
      </c>
      <c r="R433" s="194">
        <v>370157.13</v>
      </c>
      <c r="S433" s="194">
        <v>6571.35</v>
      </c>
      <c r="T433" s="70">
        <v>1819.3700000000008</v>
      </c>
      <c r="U433" s="80">
        <v>81753.173721494197</v>
      </c>
      <c r="V433" s="73"/>
      <c r="X433" s="30"/>
      <c r="Y433" s="54">
        <v>424</v>
      </c>
      <c r="Z433" s="70">
        <v>86676.4</v>
      </c>
      <c r="AA433" s="75">
        <v>15885</v>
      </c>
      <c r="AB433" s="75">
        <v>6327.5800000000008</v>
      </c>
      <c r="AC433" s="75">
        <v>84066.42</v>
      </c>
      <c r="AD433" s="194">
        <v>366416.75</v>
      </c>
      <c r="AE433" s="194">
        <v>7519.7</v>
      </c>
      <c r="AF433" s="76">
        <v>7.0000000000000007E-2</v>
      </c>
      <c r="AG433" s="70">
        <v>5559.7500000000018</v>
      </c>
      <c r="AH433" s="31"/>
    </row>
    <row r="434" spans="3:34" x14ac:dyDescent="0.25">
      <c r="C434" s="72"/>
      <c r="D434" s="54">
        <v>425</v>
      </c>
      <c r="E434" s="70">
        <v>44493.59</v>
      </c>
      <c r="F434" s="75">
        <v>4630</v>
      </c>
      <c r="G434" s="75">
        <v>89386</v>
      </c>
      <c r="H434" s="194">
        <v>329056</v>
      </c>
      <c r="I434" s="194">
        <v>12341.76</v>
      </c>
      <c r="J434" s="75">
        <v>81753.173721494197</v>
      </c>
      <c r="K434" s="73"/>
      <c r="M434" s="72"/>
      <c r="N434" s="54">
        <v>425</v>
      </c>
      <c r="O434" s="70">
        <v>35103.747499999976</v>
      </c>
      <c r="P434" s="75">
        <v>12789</v>
      </c>
      <c r="Q434" s="75">
        <v>77139</v>
      </c>
      <c r="R434" s="194">
        <v>313181.34749999997</v>
      </c>
      <c r="S434" s="194">
        <v>5856.9500000000007</v>
      </c>
      <c r="T434" s="70">
        <v>1566.6525000000006</v>
      </c>
      <c r="U434" s="80">
        <v>81753.173721494197</v>
      </c>
      <c r="V434" s="73"/>
      <c r="X434" s="30"/>
      <c r="Y434" s="54">
        <v>425</v>
      </c>
      <c r="Z434" s="70">
        <v>46349.05</v>
      </c>
      <c r="AA434" s="75">
        <v>9285</v>
      </c>
      <c r="AB434" s="75">
        <v>5931.170000000001</v>
      </c>
      <c r="AC434" s="75">
        <v>78799.83</v>
      </c>
      <c r="AD434" s="194">
        <v>325806.25</v>
      </c>
      <c r="AE434" s="194">
        <v>7236.55</v>
      </c>
      <c r="AF434" s="76">
        <v>7.0000000000000007E-2</v>
      </c>
      <c r="AG434" s="70">
        <v>3249.7500000000009</v>
      </c>
      <c r="AH434" s="31"/>
    </row>
    <row r="435" spans="3:34" x14ac:dyDescent="0.25">
      <c r="C435" s="72"/>
      <c r="D435" s="54">
        <v>426</v>
      </c>
      <c r="E435" s="70">
        <v>58351.91</v>
      </c>
      <c r="F435" s="75">
        <v>5916</v>
      </c>
      <c r="G435" s="75">
        <v>92188</v>
      </c>
      <c r="H435" s="194">
        <v>343364</v>
      </c>
      <c r="I435" s="194">
        <v>12791.44</v>
      </c>
      <c r="J435" s="75">
        <v>81753.173721494197</v>
      </c>
      <c r="K435" s="73"/>
      <c r="M435" s="72"/>
      <c r="N435" s="54">
        <v>426</v>
      </c>
      <c r="O435" s="70">
        <v>91596.332499999975</v>
      </c>
      <c r="P435" s="75">
        <v>11663</v>
      </c>
      <c r="Q435" s="75">
        <v>94616</v>
      </c>
      <c r="R435" s="194">
        <v>370547.78249999997</v>
      </c>
      <c r="S435" s="194">
        <v>6730.8</v>
      </c>
      <c r="T435" s="70">
        <v>1428.7175000000007</v>
      </c>
      <c r="U435" s="80">
        <v>81753.173721494197</v>
      </c>
      <c r="V435" s="73"/>
      <c r="X435" s="30"/>
      <c r="Y435" s="54">
        <v>426</v>
      </c>
      <c r="Z435" s="70">
        <v>59109.85000000002</v>
      </c>
      <c r="AA435" s="75">
        <v>13761</v>
      </c>
      <c r="AB435" s="75">
        <v>5904.01</v>
      </c>
      <c r="AC435" s="75">
        <v>78438.990000000005</v>
      </c>
      <c r="AD435" s="194">
        <v>338547.65</v>
      </c>
      <c r="AE435" s="194">
        <v>7217.1500000000005</v>
      </c>
      <c r="AF435" s="76">
        <v>7.0000000000000007E-2</v>
      </c>
      <c r="AG435" s="70">
        <v>4816.3500000000013</v>
      </c>
      <c r="AH435" s="31"/>
    </row>
    <row r="436" spans="3:34" x14ac:dyDescent="0.25">
      <c r="C436" s="72"/>
      <c r="D436" s="54">
        <v>427</v>
      </c>
      <c r="E436" s="70">
        <v>44493.59</v>
      </c>
      <c r="F436" s="75">
        <v>7452</v>
      </c>
      <c r="G436" s="75">
        <v>86564</v>
      </c>
      <c r="H436" s="194">
        <v>329056</v>
      </c>
      <c r="I436" s="194">
        <v>12341.76</v>
      </c>
      <c r="J436" s="75">
        <v>81753.173721494197</v>
      </c>
      <c r="K436" s="73"/>
      <c r="M436" s="72"/>
      <c r="N436" s="54">
        <v>427</v>
      </c>
      <c r="O436" s="70">
        <v>49183.567499999983</v>
      </c>
      <c r="P436" s="75">
        <v>13117</v>
      </c>
      <c r="Q436" s="75">
        <v>80899</v>
      </c>
      <c r="R436" s="194">
        <v>327449.16749999998</v>
      </c>
      <c r="S436" s="194">
        <v>6044.9500000000007</v>
      </c>
      <c r="T436" s="70">
        <v>1606.8325000000007</v>
      </c>
      <c r="U436" s="80">
        <v>81753.173721494197</v>
      </c>
      <c r="V436" s="73"/>
      <c r="X436" s="30"/>
      <c r="Y436" s="54">
        <v>427</v>
      </c>
      <c r="Z436" s="70">
        <v>60297.250000000015</v>
      </c>
      <c r="AA436" s="75">
        <v>9803</v>
      </c>
      <c r="AB436" s="75">
        <v>6181.0700000000006</v>
      </c>
      <c r="AC436" s="75">
        <v>82119.929999999993</v>
      </c>
      <c r="AD436" s="194">
        <v>339932.95</v>
      </c>
      <c r="AE436" s="194">
        <v>7415.05</v>
      </c>
      <c r="AF436" s="76">
        <v>7.0000000000000007E-2</v>
      </c>
      <c r="AG436" s="70">
        <v>3431.0500000000011</v>
      </c>
      <c r="AH436" s="31"/>
    </row>
    <row r="437" spans="3:34" x14ac:dyDescent="0.25">
      <c r="C437" s="72"/>
      <c r="D437" s="54">
        <v>428</v>
      </c>
      <c r="E437" s="70">
        <v>58351.91</v>
      </c>
      <c r="F437" s="75">
        <v>5898</v>
      </c>
      <c r="G437" s="75">
        <v>92206</v>
      </c>
      <c r="H437" s="194">
        <v>343364</v>
      </c>
      <c r="I437" s="194">
        <v>12791.44</v>
      </c>
      <c r="J437" s="75">
        <v>81753.173721494197</v>
      </c>
      <c r="K437" s="73"/>
      <c r="M437" s="72"/>
      <c r="N437" s="54">
        <v>428</v>
      </c>
      <c r="O437" s="70">
        <v>63323.925000000025</v>
      </c>
      <c r="P437" s="75">
        <v>12610</v>
      </c>
      <c r="Q437" s="75">
        <v>85494</v>
      </c>
      <c r="R437" s="194">
        <v>341819.27500000002</v>
      </c>
      <c r="S437" s="194">
        <v>6274.7</v>
      </c>
      <c r="T437" s="70">
        <v>1544.7250000000006</v>
      </c>
      <c r="U437" s="80">
        <v>81753.173721494197</v>
      </c>
      <c r="V437" s="73"/>
      <c r="X437" s="30"/>
      <c r="Y437" s="54">
        <v>428</v>
      </c>
      <c r="Z437" s="70">
        <v>59698.449999999975</v>
      </c>
      <c r="AA437" s="75">
        <v>11799</v>
      </c>
      <c r="AB437" s="75">
        <v>7767.45</v>
      </c>
      <c r="AC437" s="75">
        <v>78537.55</v>
      </c>
      <c r="AD437" s="194">
        <v>339234.35</v>
      </c>
      <c r="AE437" s="194">
        <v>7315.25</v>
      </c>
      <c r="AF437" s="76">
        <v>0.09</v>
      </c>
      <c r="AG437" s="70">
        <v>4129.6500000000015</v>
      </c>
      <c r="AH437" s="31"/>
    </row>
    <row r="438" spans="3:34" x14ac:dyDescent="0.25">
      <c r="C438" s="72"/>
      <c r="D438" s="54">
        <v>429</v>
      </c>
      <c r="E438" s="70">
        <v>44493.59</v>
      </c>
      <c r="F438" s="75">
        <v>6488</v>
      </c>
      <c r="G438" s="75">
        <v>87528</v>
      </c>
      <c r="H438" s="194">
        <v>329056</v>
      </c>
      <c r="I438" s="194">
        <v>12341.76</v>
      </c>
      <c r="J438" s="75">
        <v>81753.173721494197</v>
      </c>
      <c r="K438" s="73"/>
      <c r="M438" s="72"/>
      <c r="N438" s="54">
        <v>429</v>
      </c>
      <c r="O438" s="70">
        <v>49183.784999999974</v>
      </c>
      <c r="P438" s="75">
        <v>13114</v>
      </c>
      <c r="Q438" s="75">
        <v>80902</v>
      </c>
      <c r="R438" s="194">
        <v>327449.53499999997</v>
      </c>
      <c r="S438" s="194">
        <v>6045.1</v>
      </c>
      <c r="T438" s="70">
        <v>1606.4650000000006</v>
      </c>
      <c r="U438" s="80">
        <v>81753.173721494197</v>
      </c>
      <c r="V438" s="73"/>
      <c r="X438" s="30"/>
      <c r="Y438" s="54">
        <v>429</v>
      </c>
      <c r="Z438" s="70">
        <v>58842.549999999988</v>
      </c>
      <c r="AA438" s="75">
        <v>14652</v>
      </c>
      <c r="AB438" s="75">
        <v>6676.16</v>
      </c>
      <c r="AC438" s="75">
        <v>76775.839999999997</v>
      </c>
      <c r="AD438" s="194">
        <v>338235.8</v>
      </c>
      <c r="AE438" s="194">
        <v>7172.6</v>
      </c>
      <c r="AF438" s="76">
        <v>0.08</v>
      </c>
      <c r="AG438" s="70">
        <v>5128.2000000000016</v>
      </c>
      <c r="AH438" s="31"/>
    </row>
    <row r="439" spans="3:34" x14ac:dyDescent="0.25">
      <c r="C439" s="72"/>
      <c r="D439" s="54">
        <v>430</v>
      </c>
      <c r="E439" s="70">
        <v>58351.91</v>
      </c>
      <c r="F439" s="75">
        <v>6954</v>
      </c>
      <c r="G439" s="75">
        <v>91150</v>
      </c>
      <c r="H439" s="194">
        <v>343364</v>
      </c>
      <c r="I439" s="194">
        <v>12791.44</v>
      </c>
      <c r="J439" s="75">
        <v>81753.173721494197</v>
      </c>
      <c r="K439" s="73"/>
      <c r="M439" s="72"/>
      <c r="N439" s="54">
        <v>430</v>
      </c>
      <c r="O439" s="70">
        <v>63315.080000000016</v>
      </c>
      <c r="P439" s="75">
        <v>12732</v>
      </c>
      <c r="Q439" s="75">
        <v>85372</v>
      </c>
      <c r="R439" s="194">
        <v>341804.33</v>
      </c>
      <c r="S439" s="194">
        <v>6268.6</v>
      </c>
      <c r="T439" s="70">
        <v>1559.6700000000008</v>
      </c>
      <c r="U439" s="80">
        <v>81753.173721494197</v>
      </c>
      <c r="V439" s="73"/>
      <c r="X439" s="30"/>
      <c r="Y439" s="54">
        <v>430</v>
      </c>
      <c r="Z439" s="70">
        <v>59682.85000000002</v>
      </c>
      <c r="AA439" s="75">
        <v>11851</v>
      </c>
      <c r="AB439" s="75">
        <v>5175.1799999999994</v>
      </c>
      <c r="AC439" s="75">
        <v>81077.820000000007</v>
      </c>
      <c r="AD439" s="194">
        <v>339216.15</v>
      </c>
      <c r="AE439" s="194">
        <v>7312.6500000000005</v>
      </c>
      <c r="AF439" s="76">
        <v>0.06</v>
      </c>
      <c r="AG439" s="70">
        <v>4147.8500000000013</v>
      </c>
      <c r="AH439" s="31"/>
    </row>
    <row r="440" spans="3:34" x14ac:dyDescent="0.25">
      <c r="C440" s="72"/>
      <c r="D440" s="54">
        <v>431</v>
      </c>
      <c r="E440" s="70">
        <v>44493.59</v>
      </c>
      <c r="F440" s="75">
        <v>8480</v>
      </c>
      <c r="G440" s="75">
        <v>85536</v>
      </c>
      <c r="H440" s="194">
        <v>329056</v>
      </c>
      <c r="I440" s="194">
        <v>12341.76</v>
      </c>
      <c r="J440" s="75">
        <v>81753.173721494197</v>
      </c>
      <c r="K440" s="73"/>
      <c r="M440" s="72"/>
      <c r="N440" s="54">
        <v>431</v>
      </c>
      <c r="O440" s="70">
        <v>49385.987500000003</v>
      </c>
      <c r="P440" s="75">
        <v>10325</v>
      </c>
      <c r="Q440" s="75">
        <v>83691</v>
      </c>
      <c r="R440" s="194">
        <v>327791.1875</v>
      </c>
      <c r="S440" s="194">
        <v>6184.55</v>
      </c>
      <c r="T440" s="70">
        <v>1264.8125000000005</v>
      </c>
      <c r="U440" s="80">
        <v>81753.173721494197</v>
      </c>
      <c r="V440" s="73"/>
      <c r="X440" s="30"/>
      <c r="Y440" s="54">
        <v>431</v>
      </c>
      <c r="Z440" s="70">
        <v>31011.249999999978</v>
      </c>
      <c r="AA440" s="75">
        <v>13399</v>
      </c>
      <c r="AB440" s="75">
        <v>3826.4500000000003</v>
      </c>
      <c r="AC440" s="75">
        <v>72702.55</v>
      </c>
      <c r="AD440" s="194">
        <v>310058.34999999998</v>
      </c>
      <c r="AE440" s="194">
        <v>6826.4500000000007</v>
      </c>
      <c r="AF440" s="76">
        <v>0.05</v>
      </c>
      <c r="AG440" s="70">
        <v>4689.6500000000015</v>
      </c>
      <c r="AH440" s="31"/>
    </row>
    <row r="441" spans="3:34" x14ac:dyDescent="0.25">
      <c r="C441" s="72"/>
      <c r="D441" s="54">
        <v>432</v>
      </c>
      <c r="E441" s="70">
        <v>30635.27</v>
      </c>
      <c r="F441" s="75">
        <v>4471</v>
      </c>
      <c r="G441" s="75">
        <v>85457</v>
      </c>
      <c r="H441" s="194">
        <v>314748</v>
      </c>
      <c r="I441" s="194">
        <v>11892.08</v>
      </c>
      <c r="J441" s="75">
        <v>81753.173721494197</v>
      </c>
      <c r="K441" s="73"/>
      <c r="M441" s="72"/>
      <c r="N441" s="54">
        <v>432</v>
      </c>
      <c r="O441" s="70">
        <v>49457.980000000018</v>
      </c>
      <c r="P441" s="75">
        <v>9332</v>
      </c>
      <c r="Q441" s="75">
        <v>84684</v>
      </c>
      <c r="R441" s="194">
        <v>327912.83</v>
      </c>
      <c r="S441" s="194">
        <v>6234.2</v>
      </c>
      <c r="T441" s="70">
        <v>1143.1700000000005</v>
      </c>
      <c r="U441" s="80">
        <v>81753.173721494197</v>
      </c>
      <c r="V441" s="73"/>
      <c r="X441" s="30"/>
      <c r="Y441" s="54">
        <v>432</v>
      </c>
      <c r="Z441" s="70">
        <v>45704.650000000009</v>
      </c>
      <c r="AA441" s="75">
        <v>11433</v>
      </c>
      <c r="AB441" s="75">
        <v>5780.81</v>
      </c>
      <c r="AC441" s="75">
        <v>76802.19</v>
      </c>
      <c r="AD441" s="194">
        <v>325054.45</v>
      </c>
      <c r="AE441" s="194">
        <v>7129.1500000000005</v>
      </c>
      <c r="AF441" s="76">
        <v>7.0000000000000007E-2</v>
      </c>
      <c r="AG441" s="70">
        <v>4001.5500000000011</v>
      </c>
      <c r="AH441" s="31"/>
    </row>
    <row r="442" spans="3:34" x14ac:dyDescent="0.25">
      <c r="C442" s="72"/>
      <c r="D442" s="54">
        <v>433</v>
      </c>
      <c r="E442" s="70">
        <v>86065.16</v>
      </c>
      <c r="F442" s="75">
        <v>8455</v>
      </c>
      <c r="G442" s="75">
        <v>97824</v>
      </c>
      <c r="H442" s="194">
        <v>371976.5</v>
      </c>
      <c r="I442" s="194">
        <v>13690.69</v>
      </c>
      <c r="J442" s="75">
        <v>81753.173721494197</v>
      </c>
      <c r="K442" s="73"/>
      <c r="M442" s="72"/>
      <c r="N442" s="54">
        <v>433</v>
      </c>
      <c r="O442" s="70">
        <v>35047.487499999974</v>
      </c>
      <c r="P442" s="75">
        <v>13565</v>
      </c>
      <c r="Q442" s="75">
        <v>76363</v>
      </c>
      <c r="R442" s="194">
        <v>313086.28749999998</v>
      </c>
      <c r="S442" s="194">
        <v>5818.15</v>
      </c>
      <c r="T442" s="70">
        <v>1661.7125000000008</v>
      </c>
      <c r="U442" s="80">
        <v>81753.173721494197</v>
      </c>
      <c r="V442" s="73"/>
      <c r="X442" s="30"/>
      <c r="Y442" s="54">
        <v>433</v>
      </c>
      <c r="Z442" s="70">
        <v>45115.150000000009</v>
      </c>
      <c r="AA442" s="75">
        <v>13398</v>
      </c>
      <c r="AB442" s="75">
        <v>8061.8</v>
      </c>
      <c r="AC442" s="75">
        <v>72556.2</v>
      </c>
      <c r="AD442" s="194">
        <v>324366.7</v>
      </c>
      <c r="AE442" s="194">
        <v>7030.9</v>
      </c>
      <c r="AF442" s="76">
        <v>0.1</v>
      </c>
      <c r="AG442" s="70">
        <v>4689.3000000000011</v>
      </c>
      <c r="AH442" s="31"/>
    </row>
    <row r="443" spans="3:34" x14ac:dyDescent="0.25">
      <c r="C443" s="72"/>
      <c r="D443" s="54">
        <v>434</v>
      </c>
      <c r="E443" s="70">
        <v>44493.59</v>
      </c>
      <c r="F443" s="75">
        <v>8530</v>
      </c>
      <c r="G443" s="75">
        <v>85486</v>
      </c>
      <c r="H443" s="194">
        <v>329056</v>
      </c>
      <c r="I443" s="194">
        <v>12341.76</v>
      </c>
      <c r="J443" s="75">
        <v>81753.173721494197</v>
      </c>
      <c r="K443" s="73"/>
      <c r="M443" s="72"/>
      <c r="N443" s="54">
        <v>434</v>
      </c>
      <c r="O443" s="70">
        <v>35378.957499999982</v>
      </c>
      <c r="P443" s="75">
        <v>8993</v>
      </c>
      <c r="Q443" s="75">
        <v>80935</v>
      </c>
      <c r="R443" s="194">
        <v>313646.35749999998</v>
      </c>
      <c r="S443" s="194">
        <v>6046.75</v>
      </c>
      <c r="T443" s="70">
        <v>1101.6425000000004</v>
      </c>
      <c r="U443" s="80">
        <v>81753.173721494197</v>
      </c>
      <c r="V443" s="73"/>
      <c r="X443" s="30"/>
      <c r="Y443" s="54">
        <v>434</v>
      </c>
      <c r="Z443" s="70">
        <v>87641.199999999983</v>
      </c>
      <c r="AA443" s="75">
        <v>12669</v>
      </c>
      <c r="AB443" s="75">
        <v>4680.5</v>
      </c>
      <c r="AC443" s="75">
        <v>88929.5</v>
      </c>
      <c r="AD443" s="194">
        <v>367542.35</v>
      </c>
      <c r="AE443" s="194">
        <v>7680.5</v>
      </c>
      <c r="AF443" s="76">
        <v>0.05</v>
      </c>
      <c r="AG443" s="70">
        <v>4434.1500000000015</v>
      </c>
      <c r="AH443" s="31"/>
    </row>
    <row r="444" spans="3:34" x14ac:dyDescent="0.25">
      <c r="C444" s="72"/>
      <c r="D444" s="54">
        <v>435</v>
      </c>
      <c r="E444" s="70">
        <v>30635.27</v>
      </c>
      <c r="F444" s="75">
        <v>4546</v>
      </c>
      <c r="G444" s="75">
        <v>85382</v>
      </c>
      <c r="H444" s="194">
        <v>314748</v>
      </c>
      <c r="I444" s="194">
        <v>11892.08</v>
      </c>
      <c r="J444" s="75">
        <v>81753.173721494197</v>
      </c>
      <c r="K444" s="73"/>
      <c r="M444" s="72"/>
      <c r="N444" s="54">
        <v>435</v>
      </c>
      <c r="O444" s="70">
        <v>49319.722499999974</v>
      </c>
      <c r="P444" s="75">
        <v>11239</v>
      </c>
      <c r="Q444" s="75">
        <v>82777</v>
      </c>
      <c r="R444" s="194">
        <v>327679.22249999997</v>
      </c>
      <c r="S444" s="194">
        <v>6138.85</v>
      </c>
      <c r="T444" s="70">
        <v>1376.7775000000006</v>
      </c>
      <c r="U444" s="80">
        <v>81753.173721494197</v>
      </c>
      <c r="V444" s="73"/>
      <c r="X444" s="30"/>
      <c r="Y444" s="54">
        <v>435</v>
      </c>
      <c r="Z444" s="70">
        <v>46313.349999999977</v>
      </c>
      <c r="AA444" s="75">
        <v>9404</v>
      </c>
      <c r="AB444" s="75">
        <v>7615.08</v>
      </c>
      <c r="AC444" s="75">
        <v>76996.92</v>
      </c>
      <c r="AD444" s="194">
        <v>325764.59999999998</v>
      </c>
      <c r="AE444" s="194">
        <v>7230.6</v>
      </c>
      <c r="AF444" s="76">
        <v>0.09</v>
      </c>
      <c r="AG444" s="70">
        <v>3291.400000000001</v>
      </c>
      <c r="AH444" s="31"/>
    </row>
    <row r="445" spans="3:34" x14ac:dyDescent="0.25">
      <c r="C445" s="72"/>
      <c r="D445" s="54">
        <v>436</v>
      </c>
      <c r="E445" s="70">
        <v>58351.91</v>
      </c>
      <c r="F445" s="75">
        <v>9854</v>
      </c>
      <c r="G445" s="75">
        <v>88250</v>
      </c>
      <c r="H445" s="194">
        <v>343364</v>
      </c>
      <c r="I445" s="194">
        <v>12791.44</v>
      </c>
      <c r="J445" s="75">
        <v>81753.173721494197</v>
      </c>
      <c r="K445" s="73"/>
      <c r="M445" s="72"/>
      <c r="N445" s="54">
        <v>436</v>
      </c>
      <c r="O445" s="70">
        <v>63247.945000000022</v>
      </c>
      <c r="P445" s="75">
        <v>13658</v>
      </c>
      <c r="Q445" s="75">
        <v>84446</v>
      </c>
      <c r="R445" s="194">
        <v>341690.89500000002</v>
      </c>
      <c r="S445" s="194">
        <v>6222.3</v>
      </c>
      <c r="T445" s="70">
        <v>1673.1050000000007</v>
      </c>
      <c r="U445" s="80">
        <v>81753.173721494197</v>
      </c>
      <c r="V445" s="73"/>
      <c r="X445" s="30"/>
      <c r="Y445" s="54">
        <v>436</v>
      </c>
      <c r="Z445" s="70">
        <v>31819.150000000023</v>
      </c>
      <c r="AA445" s="75">
        <v>10706</v>
      </c>
      <c r="AB445" s="75">
        <v>3961.1000000000004</v>
      </c>
      <c r="AC445" s="75">
        <v>75260.899999999994</v>
      </c>
      <c r="AD445" s="194">
        <v>311000.90000000002</v>
      </c>
      <c r="AE445" s="194">
        <v>6961.1</v>
      </c>
      <c r="AF445" s="76">
        <v>0.05</v>
      </c>
      <c r="AG445" s="70">
        <v>3747.1000000000008</v>
      </c>
      <c r="AH445" s="31"/>
    </row>
    <row r="446" spans="3:34" x14ac:dyDescent="0.25">
      <c r="C446" s="72"/>
      <c r="D446" s="54">
        <v>437</v>
      </c>
      <c r="E446" s="70">
        <v>44493.59</v>
      </c>
      <c r="F446" s="75">
        <v>4796</v>
      </c>
      <c r="G446" s="75">
        <v>89220</v>
      </c>
      <c r="H446" s="194">
        <v>329056</v>
      </c>
      <c r="I446" s="194">
        <v>12341.76</v>
      </c>
      <c r="J446" s="75">
        <v>81753.173721494197</v>
      </c>
      <c r="K446" s="73"/>
      <c r="M446" s="72"/>
      <c r="N446" s="54">
        <v>437</v>
      </c>
      <c r="O446" s="70">
        <v>63395.264999999999</v>
      </c>
      <c r="P446" s="75">
        <v>11626</v>
      </c>
      <c r="Q446" s="75">
        <v>86478</v>
      </c>
      <c r="R446" s="194">
        <v>341939.815</v>
      </c>
      <c r="S446" s="194">
        <v>6323.9000000000005</v>
      </c>
      <c r="T446" s="70">
        <v>1424.1850000000006</v>
      </c>
      <c r="U446" s="80">
        <v>81753.173721494197</v>
      </c>
      <c r="V446" s="73"/>
      <c r="X446" s="30"/>
      <c r="Y446" s="54">
        <v>437</v>
      </c>
      <c r="Z446" s="70">
        <v>31842.55000000001</v>
      </c>
      <c r="AA446" s="75">
        <v>10628</v>
      </c>
      <c r="AB446" s="75">
        <v>3965</v>
      </c>
      <c r="AC446" s="75">
        <v>75335</v>
      </c>
      <c r="AD446" s="194">
        <v>311028.2</v>
      </c>
      <c r="AE446" s="194">
        <v>6965</v>
      </c>
      <c r="AF446" s="76">
        <v>0.05</v>
      </c>
      <c r="AG446" s="70">
        <v>3719.8000000000011</v>
      </c>
      <c r="AH446" s="31"/>
    </row>
    <row r="447" spans="3:34" x14ac:dyDescent="0.25">
      <c r="C447" s="72"/>
      <c r="D447" s="54">
        <v>438</v>
      </c>
      <c r="E447" s="70">
        <v>58351.91</v>
      </c>
      <c r="F447" s="75">
        <v>8987</v>
      </c>
      <c r="G447" s="75">
        <v>89117</v>
      </c>
      <c r="H447" s="194">
        <v>343364</v>
      </c>
      <c r="I447" s="194">
        <v>12791.44</v>
      </c>
      <c r="J447" s="75">
        <v>81753.173721494197</v>
      </c>
      <c r="K447" s="73"/>
      <c r="M447" s="72"/>
      <c r="N447" s="54">
        <v>438</v>
      </c>
      <c r="O447" s="70">
        <v>35318.565000000002</v>
      </c>
      <c r="P447" s="75">
        <v>9826</v>
      </c>
      <c r="Q447" s="75">
        <v>80102</v>
      </c>
      <c r="R447" s="194">
        <v>313544.315</v>
      </c>
      <c r="S447" s="194">
        <v>6005.1</v>
      </c>
      <c r="T447" s="70">
        <v>1203.6850000000006</v>
      </c>
      <c r="U447" s="80">
        <v>81753.173721494197</v>
      </c>
      <c r="V447" s="73"/>
      <c r="X447" s="30"/>
      <c r="Y447" s="54">
        <v>438</v>
      </c>
      <c r="Z447" s="70">
        <v>44918.650000000009</v>
      </c>
      <c r="AA447" s="75">
        <v>14053</v>
      </c>
      <c r="AB447" s="75">
        <v>5597.4100000000008</v>
      </c>
      <c r="AC447" s="75">
        <v>74365.59</v>
      </c>
      <c r="AD447" s="194">
        <v>324137.45</v>
      </c>
      <c r="AE447" s="194">
        <v>6998.15</v>
      </c>
      <c r="AF447" s="76">
        <v>7.0000000000000007E-2</v>
      </c>
      <c r="AG447" s="70">
        <v>4918.5500000000011</v>
      </c>
      <c r="AH447" s="31"/>
    </row>
    <row r="448" spans="3:34" x14ac:dyDescent="0.25">
      <c r="C448" s="72"/>
      <c r="D448" s="54">
        <v>439</v>
      </c>
      <c r="E448" s="70">
        <v>58351.91</v>
      </c>
      <c r="F448" s="75">
        <v>8879</v>
      </c>
      <c r="G448" s="75">
        <v>89225</v>
      </c>
      <c r="H448" s="194">
        <v>343364</v>
      </c>
      <c r="I448" s="194">
        <v>12791.44</v>
      </c>
      <c r="J448" s="75">
        <v>81753.173721494197</v>
      </c>
      <c r="K448" s="73"/>
      <c r="M448" s="72"/>
      <c r="N448" s="54">
        <v>439</v>
      </c>
      <c r="O448" s="70">
        <v>35318.492500000008</v>
      </c>
      <c r="P448" s="75">
        <v>9827</v>
      </c>
      <c r="Q448" s="75">
        <v>80101</v>
      </c>
      <c r="R448" s="194">
        <v>313544.1925</v>
      </c>
      <c r="S448" s="194">
        <v>6005.05</v>
      </c>
      <c r="T448" s="70">
        <v>1203.8075000000006</v>
      </c>
      <c r="U448" s="80">
        <v>81753.173721494197</v>
      </c>
      <c r="V448" s="73"/>
      <c r="X448" s="30"/>
      <c r="Y448" s="54">
        <v>439</v>
      </c>
      <c r="Z448" s="70">
        <v>45745.44999999999</v>
      </c>
      <c r="AA448" s="75">
        <v>11297</v>
      </c>
      <c r="AB448" s="75">
        <v>6617.52</v>
      </c>
      <c r="AC448" s="75">
        <v>76101.48</v>
      </c>
      <c r="AD448" s="194">
        <v>325102.05</v>
      </c>
      <c r="AE448" s="194">
        <v>7135.95</v>
      </c>
      <c r="AF448" s="76">
        <v>0.08</v>
      </c>
      <c r="AG448" s="70">
        <v>3953.9500000000012</v>
      </c>
      <c r="AH448" s="31"/>
    </row>
    <row r="449" spans="3:34" x14ac:dyDescent="0.25">
      <c r="C449" s="72"/>
      <c r="D449" s="54">
        <v>440</v>
      </c>
      <c r="E449" s="70">
        <v>86065.16</v>
      </c>
      <c r="F449" s="75">
        <v>10417</v>
      </c>
      <c r="G449" s="75">
        <v>95862</v>
      </c>
      <c r="H449" s="194">
        <v>371976.5</v>
      </c>
      <c r="I449" s="194">
        <v>13690.69</v>
      </c>
      <c r="J449" s="75">
        <v>81753.173721494197</v>
      </c>
      <c r="K449" s="73"/>
      <c r="M449" s="72"/>
      <c r="N449" s="54">
        <v>440</v>
      </c>
      <c r="O449" s="70">
        <v>63531.202499999999</v>
      </c>
      <c r="P449" s="75">
        <v>9751</v>
      </c>
      <c r="Q449" s="75">
        <v>88353</v>
      </c>
      <c r="R449" s="194">
        <v>342169.5025</v>
      </c>
      <c r="S449" s="194">
        <v>6417.6500000000005</v>
      </c>
      <c r="T449" s="70">
        <v>1194.4975000000006</v>
      </c>
      <c r="U449" s="80">
        <v>81753.173721494197</v>
      </c>
      <c r="V449" s="73"/>
      <c r="X449" s="30"/>
      <c r="Y449" s="54">
        <v>440</v>
      </c>
      <c r="Z449" s="70">
        <v>44912.94999999999</v>
      </c>
      <c r="AA449" s="75">
        <v>14072</v>
      </c>
      <c r="AB449" s="75">
        <v>7994.4000000000005</v>
      </c>
      <c r="AC449" s="75">
        <v>71949.600000000006</v>
      </c>
      <c r="AD449" s="194">
        <v>324130.8</v>
      </c>
      <c r="AE449" s="194">
        <v>6997.2000000000007</v>
      </c>
      <c r="AF449" s="76">
        <v>0.1</v>
      </c>
      <c r="AG449" s="70">
        <v>4925.2000000000016</v>
      </c>
      <c r="AH449" s="31"/>
    </row>
    <row r="450" spans="3:34" x14ac:dyDescent="0.25">
      <c r="C450" s="72"/>
      <c r="D450" s="54">
        <v>441</v>
      </c>
      <c r="E450" s="70">
        <v>44493.59</v>
      </c>
      <c r="F450" s="75">
        <v>5597</v>
      </c>
      <c r="G450" s="75">
        <v>88419</v>
      </c>
      <c r="H450" s="194">
        <v>329056</v>
      </c>
      <c r="I450" s="194">
        <v>12341.76</v>
      </c>
      <c r="J450" s="75">
        <v>81753.173721494197</v>
      </c>
      <c r="K450" s="73"/>
      <c r="M450" s="72"/>
      <c r="N450" s="54">
        <v>441</v>
      </c>
      <c r="O450" s="70">
        <v>35249.472500000011</v>
      </c>
      <c r="P450" s="75">
        <v>10779</v>
      </c>
      <c r="Q450" s="75">
        <v>79149</v>
      </c>
      <c r="R450" s="194">
        <v>313427.57250000001</v>
      </c>
      <c r="S450" s="194">
        <v>5957.4500000000007</v>
      </c>
      <c r="T450" s="70">
        <v>1320.4275000000005</v>
      </c>
      <c r="U450" s="80">
        <v>81753.173721494197</v>
      </c>
      <c r="V450" s="73"/>
      <c r="X450" s="30"/>
      <c r="Y450" s="54">
        <v>441</v>
      </c>
      <c r="Z450" s="70">
        <v>60315.250000000015</v>
      </c>
      <c r="AA450" s="75">
        <v>9743</v>
      </c>
      <c r="AB450" s="75">
        <v>5301.66</v>
      </c>
      <c r="AC450" s="75">
        <v>83059.34</v>
      </c>
      <c r="AD450" s="194">
        <v>339953.95</v>
      </c>
      <c r="AE450" s="194">
        <v>7418.05</v>
      </c>
      <c r="AF450" s="76">
        <v>0.06</v>
      </c>
      <c r="AG450" s="70">
        <v>3410.0500000000011</v>
      </c>
      <c r="AH450" s="31"/>
    </row>
    <row r="451" spans="3:34" x14ac:dyDescent="0.25">
      <c r="C451" s="72"/>
      <c r="D451" s="54">
        <v>442</v>
      </c>
      <c r="E451" s="70">
        <v>44493.59</v>
      </c>
      <c r="F451" s="75">
        <v>7489</v>
      </c>
      <c r="G451" s="75">
        <v>86527</v>
      </c>
      <c r="H451" s="194">
        <v>329056</v>
      </c>
      <c r="I451" s="194">
        <v>12341.76</v>
      </c>
      <c r="J451" s="75">
        <v>81753.173721494197</v>
      </c>
      <c r="K451" s="73"/>
      <c r="M451" s="72"/>
      <c r="N451" s="54">
        <v>442</v>
      </c>
      <c r="O451" s="70">
        <v>35178.35000000002</v>
      </c>
      <c r="P451" s="75">
        <v>11760</v>
      </c>
      <c r="Q451" s="75">
        <v>78168</v>
      </c>
      <c r="R451" s="194">
        <v>313307.40000000002</v>
      </c>
      <c r="S451" s="194">
        <v>5908.4</v>
      </c>
      <c r="T451" s="70">
        <v>1440.6000000000006</v>
      </c>
      <c r="U451" s="80">
        <v>81753.173721494197</v>
      </c>
      <c r="V451" s="73"/>
      <c r="X451" s="30"/>
      <c r="Y451" s="54">
        <v>442</v>
      </c>
      <c r="Z451" s="70">
        <v>45256.44999999999</v>
      </c>
      <c r="AA451" s="75">
        <v>12927</v>
      </c>
      <c r="AB451" s="75">
        <v>7298.0099999999993</v>
      </c>
      <c r="AC451" s="75">
        <v>73790.990000000005</v>
      </c>
      <c r="AD451" s="194">
        <v>324531.55</v>
      </c>
      <c r="AE451" s="194">
        <v>7054.4500000000007</v>
      </c>
      <c r="AF451" s="76">
        <v>0.09</v>
      </c>
      <c r="AG451" s="70">
        <v>4524.4500000000007</v>
      </c>
      <c r="AH451" s="31"/>
    </row>
    <row r="452" spans="3:34" x14ac:dyDescent="0.25">
      <c r="C452" s="72"/>
      <c r="D452" s="54">
        <v>443</v>
      </c>
      <c r="E452" s="70">
        <v>86065.16</v>
      </c>
      <c r="F452" s="75">
        <v>6127</v>
      </c>
      <c r="G452" s="75">
        <v>100152</v>
      </c>
      <c r="H452" s="194">
        <v>371976.5</v>
      </c>
      <c r="I452" s="194">
        <v>13690.69</v>
      </c>
      <c r="J452" s="75">
        <v>81753.173721494197</v>
      </c>
      <c r="K452" s="73"/>
      <c r="M452" s="72"/>
      <c r="N452" s="54">
        <v>443</v>
      </c>
      <c r="O452" s="70">
        <v>49175.665000000001</v>
      </c>
      <c r="P452" s="75">
        <v>13226</v>
      </c>
      <c r="Q452" s="75">
        <v>80790</v>
      </c>
      <c r="R452" s="194">
        <v>327435.815</v>
      </c>
      <c r="S452" s="194">
        <v>6039.5</v>
      </c>
      <c r="T452" s="70">
        <v>1620.1850000000006</v>
      </c>
      <c r="U452" s="80">
        <v>81753.173721494197</v>
      </c>
      <c r="V452" s="73"/>
      <c r="X452" s="30"/>
      <c r="Y452" s="54">
        <v>443</v>
      </c>
      <c r="Z452" s="70">
        <v>59127.85000000002</v>
      </c>
      <c r="AA452" s="75">
        <v>13701</v>
      </c>
      <c r="AB452" s="75">
        <v>5064.1799999999994</v>
      </c>
      <c r="AC452" s="75">
        <v>79338.820000000007</v>
      </c>
      <c r="AD452" s="194">
        <v>338568.65</v>
      </c>
      <c r="AE452" s="194">
        <v>7220.1500000000005</v>
      </c>
      <c r="AF452" s="76">
        <v>0.06</v>
      </c>
      <c r="AG452" s="70">
        <v>4795.3500000000013</v>
      </c>
      <c r="AH452" s="31"/>
    </row>
    <row r="453" spans="3:34" x14ac:dyDescent="0.25">
      <c r="C453" s="72"/>
      <c r="D453" s="54">
        <v>444</v>
      </c>
      <c r="E453" s="70">
        <v>58351.91</v>
      </c>
      <c r="F453" s="75">
        <v>9907</v>
      </c>
      <c r="G453" s="75">
        <v>88197</v>
      </c>
      <c r="H453" s="194">
        <v>343364</v>
      </c>
      <c r="I453" s="194">
        <v>12791.44</v>
      </c>
      <c r="J453" s="75">
        <v>81753.173721494197</v>
      </c>
      <c r="K453" s="73"/>
      <c r="M453" s="72"/>
      <c r="N453" s="54">
        <v>444</v>
      </c>
      <c r="O453" s="70">
        <v>63236.707499999975</v>
      </c>
      <c r="P453" s="75">
        <v>13813</v>
      </c>
      <c r="Q453" s="75">
        <v>84291</v>
      </c>
      <c r="R453" s="194">
        <v>341671.90749999997</v>
      </c>
      <c r="S453" s="194">
        <v>6214.55</v>
      </c>
      <c r="T453" s="70">
        <v>1692.0925000000007</v>
      </c>
      <c r="U453" s="80">
        <v>81753.173721494197</v>
      </c>
      <c r="V453" s="73"/>
      <c r="X453" s="30"/>
      <c r="Y453" s="54">
        <v>444</v>
      </c>
      <c r="Z453" s="70">
        <v>30999.849999999988</v>
      </c>
      <c r="AA453" s="75">
        <v>13437</v>
      </c>
      <c r="AB453" s="75">
        <v>3824.55</v>
      </c>
      <c r="AC453" s="75">
        <v>72666.45</v>
      </c>
      <c r="AD453" s="194">
        <v>310045.05</v>
      </c>
      <c r="AE453" s="194">
        <v>6824.55</v>
      </c>
      <c r="AF453" s="76">
        <v>0.05</v>
      </c>
      <c r="AG453" s="70">
        <v>4702.9500000000016</v>
      </c>
      <c r="AH453" s="31"/>
    </row>
    <row r="454" spans="3:34" x14ac:dyDescent="0.25">
      <c r="C454" s="72"/>
      <c r="D454" s="54">
        <v>445</v>
      </c>
      <c r="E454" s="70">
        <v>86065.16</v>
      </c>
      <c r="F454" s="75">
        <v>6406</v>
      </c>
      <c r="G454" s="75">
        <v>99873</v>
      </c>
      <c r="H454" s="194">
        <v>371976.5</v>
      </c>
      <c r="I454" s="194">
        <v>13690.69</v>
      </c>
      <c r="J454" s="75">
        <v>81753.173721494197</v>
      </c>
      <c r="K454" s="73"/>
      <c r="M454" s="72"/>
      <c r="N454" s="54">
        <v>445</v>
      </c>
      <c r="O454" s="70">
        <v>49445.437500000015</v>
      </c>
      <c r="P454" s="75">
        <v>9505</v>
      </c>
      <c r="Q454" s="75">
        <v>84511</v>
      </c>
      <c r="R454" s="194">
        <v>327891.63750000001</v>
      </c>
      <c r="S454" s="194">
        <v>6225.55</v>
      </c>
      <c r="T454" s="70">
        <v>1164.3625000000004</v>
      </c>
      <c r="U454" s="80">
        <v>81753.173721494197</v>
      </c>
      <c r="V454" s="73"/>
      <c r="X454" s="30"/>
      <c r="Y454" s="54">
        <v>445</v>
      </c>
      <c r="Z454" s="70">
        <v>46009.44999999999</v>
      </c>
      <c r="AA454" s="75">
        <v>10417</v>
      </c>
      <c r="AB454" s="75">
        <v>5015.9399999999996</v>
      </c>
      <c r="AC454" s="75">
        <v>78583.06</v>
      </c>
      <c r="AD454" s="194">
        <v>325410.05</v>
      </c>
      <c r="AE454" s="194">
        <v>7179.95</v>
      </c>
      <c r="AF454" s="76">
        <v>0.06</v>
      </c>
      <c r="AG454" s="70">
        <v>3645.9500000000007</v>
      </c>
      <c r="AH454" s="31"/>
    </row>
    <row r="455" spans="3:34" x14ac:dyDescent="0.25">
      <c r="C455" s="72"/>
      <c r="D455" s="54">
        <v>446</v>
      </c>
      <c r="E455" s="70">
        <v>44493.59</v>
      </c>
      <c r="F455" s="75">
        <v>8406</v>
      </c>
      <c r="G455" s="75">
        <v>85610</v>
      </c>
      <c r="H455" s="194">
        <v>329056</v>
      </c>
      <c r="I455" s="194">
        <v>12341.76</v>
      </c>
      <c r="J455" s="75">
        <v>81753.173721494197</v>
      </c>
      <c r="K455" s="73"/>
      <c r="M455" s="72"/>
      <c r="N455" s="54">
        <v>446</v>
      </c>
      <c r="O455" s="70">
        <v>35119.697499999987</v>
      </c>
      <c r="P455" s="75">
        <v>12569</v>
      </c>
      <c r="Q455" s="75">
        <v>77359</v>
      </c>
      <c r="R455" s="194">
        <v>313208.29749999999</v>
      </c>
      <c r="S455" s="194">
        <v>5867.9500000000007</v>
      </c>
      <c r="T455" s="70">
        <v>1539.7025000000008</v>
      </c>
      <c r="U455" s="80">
        <v>81753.173721494197</v>
      </c>
      <c r="V455" s="73"/>
      <c r="X455" s="30"/>
      <c r="Y455" s="54">
        <v>446</v>
      </c>
      <c r="Z455" s="70">
        <v>59111.35000000002</v>
      </c>
      <c r="AA455" s="75">
        <v>13756</v>
      </c>
      <c r="AB455" s="75">
        <v>8434.8000000000011</v>
      </c>
      <c r="AC455" s="75">
        <v>75913.2</v>
      </c>
      <c r="AD455" s="194">
        <v>338549.4</v>
      </c>
      <c r="AE455" s="194">
        <v>7217.4000000000005</v>
      </c>
      <c r="AF455" s="76">
        <v>0.1</v>
      </c>
      <c r="AG455" s="70">
        <v>4814.6000000000013</v>
      </c>
      <c r="AH455" s="31"/>
    </row>
    <row r="456" spans="3:34" x14ac:dyDescent="0.25">
      <c r="C456" s="72"/>
      <c r="D456" s="54">
        <v>447</v>
      </c>
      <c r="E456" s="70">
        <v>44493.59</v>
      </c>
      <c r="F456" s="75">
        <v>4797</v>
      </c>
      <c r="G456" s="75">
        <v>89219</v>
      </c>
      <c r="H456" s="194">
        <v>329056</v>
      </c>
      <c r="I456" s="194">
        <v>12341.76</v>
      </c>
      <c r="J456" s="75">
        <v>81753.173721494197</v>
      </c>
      <c r="K456" s="73"/>
      <c r="M456" s="72"/>
      <c r="N456" s="54">
        <v>447</v>
      </c>
      <c r="O456" s="70">
        <v>63301.522499999985</v>
      </c>
      <c r="P456" s="75">
        <v>12919</v>
      </c>
      <c r="Q456" s="75">
        <v>85185</v>
      </c>
      <c r="R456" s="194">
        <v>341781.42249999999</v>
      </c>
      <c r="S456" s="194">
        <v>6259.25</v>
      </c>
      <c r="T456" s="70">
        <v>1582.5775000000008</v>
      </c>
      <c r="U456" s="80">
        <v>81753.173721494197</v>
      </c>
      <c r="V456" s="73"/>
      <c r="X456" s="30"/>
      <c r="Y456" s="54">
        <v>447</v>
      </c>
      <c r="Z456" s="70">
        <v>87001.60000000002</v>
      </c>
      <c r="AA456" s="75">
        <v>14801</v>
      </c>
      <c r="AB456" s="75">
        <v>9147.8000000000011</v>
      </c>
      <c r="AC456" s="75">
        <v>82330.2</v>
      </c>
      <c r="AD456" s="194">
        <v>366796.15</v>
      </c>
      <c r="AE456" s="194">
        <v>7573.9000000000005</v>
      </c>
      <c r="AF456" s="76">
        <v>0.1</v>
      </c>
      <c r="AG456" s="70">
        <v>5180.3500000000013</v>
      </c>
      <c r="AH456" s="31"/>
    </row>
    <row r="457" spans="3:34" x14ac:dyDescent="0.25">
      <c r="C457" s="72"/>
      <c r="D457" s="54">
        <v>448</v>
      </c>
      <c r="E457" s="70">
        <v>30635.27</v>
      </c>
      <c r="F457" s="75">
        <v>8209</v>
      </c>
      <c r="G457" s="75">
        <v>81719</v>
      </c>
      <c r="H457" s="194">
        <v>314748</v>
      </c>
      <c r="I457" s="194">
        <v>11892.08</v>
      </c>
      <c r="J457" s="75">
        <v>81753.173721494197</v>
      </c>
      <c r="K457" s="73"/>
      <c r="M457" s="72"/>
      <c r="N457" s="54">
        <v>448</v>
      </c>
      <c r="O457" s="70">
        <v>35189.370000000017</v>
      </c>
      <c r="P457" s="75">
        <v>11608</v>
      </c>
      <c r="Q457" s="75">
        <v>78320</v>
      </c>
      <c r="R457" s="194">
        <v>313326.02</v>
      </c>
      <c r="S457" s="194">
        <v>5916</v>
      </c>
      <c r="T457" s="70">
        <v>1421.9800000000007</v>
      </c>
      <c r="U457" s="80">
        <v>81753.173721494197</v>
      </c>
      <c r="V457" s="73"/>
      <c r="X457" s="30"/>
      <c r="Y457" s="54">
        <v>448</v>
      </c>
      <c r="Z457" s="70">
        <v>44948.05</v>
      </c>
      <c r="AA457" s="75">
        <v>13955</v>
      </c>
      <c r="AB457" s="75">
        <v>8006.1</v>
      </c>
      <c r="AC457" s="75">
        <v>72054.899999999994</v>
      </c>
      <c r="AD457" s="194">
        <v>324171.75</v>
      </c>
      <c r="AE457" s="194">
        <v>7003.05</v>
      </c>
      <c r="AF457" s="76">
        <v>0.1</v>
      </c>
      <c r="AG457" s="70">
        <v>4884.2500000000009</v>
      </c>
      <c r="AH457" s="31"/>
    </row>
    <row r="458" spans="3:34" x14ac:dyDescent="0.25">
      <c r="C458" s="72"/>
      <c r="D458" s="54">
        <v>449</v>
      </c>
      <c r="E458" s="70">
        <v>30635.27</v>
      </c>
      <c r="F458" s="75">
        <v>8023</v>
      </c>
      <c r="G458" s="75">
        <v>81905</v>
      </c>
      <c r="H458" s="194">
        <v>314748</v>
      </c>
      <c r="I458" s="194">
        <v>11892.08</v>
      </c>
      <c r="J458" s="75">
        <v>81753.173721494197</v>
      </c>
      <c r="K458" s="73"/>
      <c r="M458" s="72"/>
      <c r="N458" s="54">
        <v>449</v>
      </c>
      <c r="O458" s="70">
        <v>63308.264999999999</v>
      </c>
      <c r="P458" s="75">
        <v>12826</v>
      </c>
      <c r="Q458" s="75">
        <v>85278</v>
      </c>
      <c r="R458" s="194">
        <v>341792.815</v>
      </c>
      <c r="S458" s="194">
        <v>6263.9000000000005</v>
      </c>
      <c r="T458" s="70">
        <v>1571.1850000000006</v>
      </c>
      <c r="U458" s="80">
        <v>81753.173721494197</v>
      </c>
      <c r="V458" s="73"/>
      <c r="X458" s="30"/>
      <c r="Y458" s="54">
        <v>449</v>
      </c>
      <c r="Z458" s="70">
        <v>32317.749999999978</v>
      </c>
      <c r="AA458" s="75">
        <v>9044</v>
      </c>
      <c r="AB458" s="75">
        <v>7279.5599999999995</v>
      </c>
      <c r="AC458" s="75">
        <v>73604.44</v>
      </c>
      <c r="AD458" s="194">
        <v>311582.59999999998</v>
      </c>
      <c r="AE458" s="194">
        <v>7044.2000000000007</v>
      </c>
      <c r="AF458" s="76">
        <v>0.09</v>
      </c>
      <c r="AG458" s="70">
        <v>3165.400000000001</v>
      </c>
      <c r="AH458" s="31"/>
    </row>
    <row r="459" spans="3:34" x14ac:dyDescent="0.25">
      <c r="C459" s="72"/>
      <c r="D459" s="54">
        <v>450</v>
      </c>
      <c r="E459" s="70">
        <v>58351.91</v>
      </c>
      <c r="F459" s="75">
        <v>7751</v>
      </c>
      <c r="G459" s="75">
        <v>90353</v>
      </c>
      <c r="H459" s="194">
        <v>343364</v>
      </c>
      <c r="I459" s="194">
        <v>12791.44</v>
      </c>
      <c r="J459" s="75">
        <v>81753.173721494197</v>
      </c>
      <c r="K459" s="73"/>
      <c r="M459" s="72"/>
      <c r="N459" s="54">
        <v>450</v>
      </c>
      <c r="O459" s="70">
        <v>35376.202500000014</v>
      </c>
      <c r="P459" s="75">
        <v>9031</v>
      </c>
      <c r="Q459" s="75">
        <v>80897</v>
      </c>
      <c r="R459" s="194">
        <v>313641.70250000001</v>
      </c>
      <c r="S459" s="194">
        <v>6044.85</v>
      </c>
      <c r="T459" s="70">
        <v>1106.2975000000006</v>
      </c>
      <c r="U459" s="80">
        <v>81753.173721494197</v>
      </c>
      <c r="V459" s="73"/>
      <c r="X459" s="30"/>
      <c r="Y459" s="54">
        <v>450</v>
      </c>
      <c r="Z459" s="70">
        <v>59164.750000000015</v>
      </c>
      <c r="AA459" s="75">
        <v>13578</v>
      </c>
      <c r="AB459" s="75">
        <v>7607.34</v>
      </c>
      <c r="AC459" s="75">
        <v>76918.66</v>
      </c>
      <c r="AD459" s="194">
        <v>338611.7</v>
      </c>
      <c r="AE459" s="194">
        <v>7226.3</v>
      </c>
      <c r="AF459" s="76">
        <v>0.09</v>
      </c>
      <c r="AG459" s="70">
        <v>4752.3000000000011</v>
      </c>
      <c r="AH459" s="31"/>
    </row>
    <row r="460" spans="3:34" x14ac:dyDescent="0.25">
      <c r="C460" s="72"/>
      <c r="D460" s="54">
        <v>451</v>
      </c>
      <c r="E460" s="70">
        <v>44493.59</v>
      </c>
      <c r="F460" s="75">
        <v>7609</v>
      </c>
      <c r="G460" s="75">
        <v>86407</v>
      </c>
      <c r="H460" s="194">
        <v>329056</v>
      </c>
      <c r="I460" s="194">
        <v>12341.76</v>
      </c>
      <c r="J460" s="75">
        <v>81753.173721494197</v>
      </c>
      <c r="K460" s="73"/>
      <c r="M460" s="72"/>
      <c r="N460" s="54">
        <v>451</v>
      </c>
      <c r="O460" s="70">
        <v>49453.122499999998</v>
      </c>
      <c r="P460" s="75">
        <v>9399</v>
      </c>
      <c r="Q460" s="75">
        <v>84617</v>
      </c>
      <c r="R460" s="194">
        <v>327904.6225</v>
      </c>
      <c r="S460" s="194">
        <v>6230.85</v>
      </c>
      <c r="T460" s="70">
        <v>1151.3775000000005</v>
      </c>
      <c r="U460" s="80">
        <v>81753.173721494197</v>
      </c>
      <c r="V460" s="73"/>
      <c r="X460" s="30"/>
      <c r="Y460" s="54">
        <v>451</v>
      </c>
      <c r="Z460" s="70">
        <v>87319.60000000002</v>
      </c>
      <c r="AA460" s="75">
        <v>13741</v>
      </c>
      <c r="AB460" s="75">
        <v>9253.8000000000011</v>
      </c>
      <c r="AC460" s="75">
        <v>83284.2</v>
      </c>
      <c r="AD460" s="194">
        <v>367167.15</v>
      </c>
      <c r="AE460" s="194">
        <v>7626.9000000000005</v>
      </c>
      <c r="AF460" s="76">
        <v>0.1</v>
      </c>
      <c r="AG460" s="70">
        <v>4809.3500000000013</v>
      </c>
      <c r="AH460" s="31"/>
    </row>
    <row r="461" spans="3:34" x14ac:dyDescent="0.25">
      <c r="C461" s="72"/>
      <c r="D461" s="54">
        <v>452</v>
      </c>
      <c r="E461" s="70">
        <v>44493.59</v>
      </c>
      <c r="F461" s="75">
        <v>5685</v>
      </c>
      <c r="G461" s="75">
        <v>88331</v>
      </c>
      <c r="H461" s="194">
        <v>329056</v>
      </c>
      <c r="I461" s="194">
        <v>12341.76</v>
      </c>
      <c r="J461" s="75">
        <v>81753.173721494197</v>
      </c>
      <c r="K461" s="73"/>
      <c r="M461" s="72"/>
      <c r="N461" s="54">
        <v>452</v>
      </c>
      <c r="O461" s="70">
        <v>49099.829999999994</v>
      </c>
      <c r="P461" s="75">
        <v>14272</v>
      </c>
      <c r="Q461" s="75">
        <v>79744</v>
      </c>
      <c r="R461" s="194">
        <v>327307.68</v>
      </c>
      <c r="S461" s="194">
        <v>5987.2000000000007</v>
      </c>
      <c r="T461" s="70">
        <v>1748.3200000000008</v>
      </c>
      <c r="U461" s="80">
        <v>81753.173721494197</v>
      </c>
      <c r="V461" s="73"/>
      <c r="X461" s="30"/>
      <c r="Y461" s="54">
        <v>452</v>
      </c>
      <c r="Z461" s="70">
        <v>59697.85000000002</v>
      </c>
      <c r="AA461" s="75">
        <v>11801</v>
      </c>
      <c r="AB461" s="75">
        <v>6041.2100000000009</v>
      </c>
      <c r="AC461" s="75">
        <v>80261.789999999994</v>
      </c>
      <c r="AD461" s="194">
        <v>339233.65</v>
      </c>
      <c r="AE461" s="194">
        <v>7315.1500000000005</v>
      </c>
      <c r="AF461" s="76">
        <v>7.0000000000000007E-2</v>
      </c>
      <c r="AG461" s="70">
        <v>4130.3500000000013</v>
      </c>
      <c r="AH461" s="31"/>
    </row>
    <row r="462" spans="3:34" x14ac:dyDescent="0.25">
      <c r="C462" s="72"/>
      <c r="D462" s="54">
        <v>453</v>
      </c>
      <c r="E462" s="70">
        <v>58351.91</v>
      </c>
      <c r="F462" s="75">
        <v>6893</v>
      </c>
      <c r="G462" s="75">
        <v>91211</v>
      </c>
      <c r="H462" s="194">
        <v>343364</v>
      </c>
      <c r="I462" s="194">
        <v>12791.44</v>
      </c>
      <c r="J462" s="75">
        <v>81753.173721494197</v>
      </c>
      <c r="K462" s="73"/>
      <c r="M462" s="72"/>
      <c r="N462" s="54">
        <v>453</v>
      </c>
      <c r="O462" s="70">
        <v>49113.532500000016</v>
      </c>
      <c r="P462" s="75">
        <v>14083</v>
      </c>
      <c r="Q462" s="75">
        <v>79933</v>
      </c>
      <c r="R462" s="194">
        <v>327330.83250000002</v>
      </c>
      <c r="S462" s="194">
        <v>5996.65</v>
      </c>
      <c r="T462" s="70">
        <v>1725.1675000000007</v>
      </c>
      <c r="U462" s="80">
        <v>81753.173721494197</v>
      </c>
      <c r="V462" s="73"/>
      <c r="X462" s="30"/>
      <c r="Y462" s="54">
        <v>453</v>
      </c>
      <c r="Z462" s="70">
        <v>32335.45</v>
      </c>
      <c r="AA462" s="75">
        <v>8985</v>
      </c>
      <c r="AB462" s="75">
        <v>4856.58</v>
      </c>
      <c r="AC462" s="75">
        <v>76086.42</v>
      </c>
      <c r="AD462" s="194">
        <v>311603.25</v>
      </c>
      <c r="AE462" s="194">
        <v>7047.15</v>
      </c>
      <c r="AF462" s="76">
        <v>0.06</v>
      </c>
      <c r="AG462" s="70">
        <v>3144.7500000000009</v>
      </c>
      <c r="AH462" s="31"/>
    </row>
    <row r="463" spans="3:34" x14ac:dyDescent="0.25">
      <c r="C463" s="72"/>
      <c r="D463" s="54">
        <v>454</v>
      </c>
      <c r="E463" s="70">
        <v>30635.27</v>
      </c>
      <c r="F463" s="75">
        <v>6389</v>
      </c>
      <c r="G463" s="75">
        <v>83539</v>
      </c>
      <c r="H463" s="194">
        <v>314748</v>
      </c>
      <c r="I463" s="194">
        <v>11892.08</v>
      </c>
      <c r="J463" s="75">
        <v>81753.173721494197</v>
      </c>
      <c r="K463" s="73"/>
      <c r="M463" s="72"/>
      <c r="N463" s="54">
        <v>454</v>
      </c>
      <c r="O463" s="70">
        <v>49253.457500000004</v>
      </c>
      <c r="P463" s="75">
        <v>12153</v>
      </c>
      <c r="Q463" s="75">
        <v>81863</v>
      </c>
      <c r="R463" s="194">
        <v>327567.25750000001</v>
      </c>
      <c r="S463" s="194">
        <v>6093.15</v>
      </c>
      <c r="T463" s="70">
        <v>1488.7425000000007</v>
      </c>
      <c r="U463" s="80">
        <v>81753.173721494197</v>
      </c>
      <c r="V463" s="73"/>
      <c r="X463" s="30"/>
      <c r="Y463" s="54">
        <v>454</v>
      </c>
      <c r="Z463" s="70">
        <v>44929.44999999999</v>
      </c>
      <c r="AA463" s="75">
        <v>14017</v>
      </c>
      <c r="AB463" s="75">
        <v>3999.9500000000003</v>
      </c>
      <c r="AC463" s="75">
        <v>75999.05</v>
      </c>
      <c r="AD463" s="194">
        <v>324150.05</v>
      </c>
      <c r="AE463" s="194">
        <v>6999.9500000000007</v>
      </c>
      <c r="AF463" s="76">
        <v>0.05</v>
      </c>
      <c r="AG463" s="70">
        <v>4905.9500000000016</v>
      </c>
      <c r="AH463" s="31"/>
    </row>
    <row r="464" spans="3:34" x14ac:dyDescent="0.25">
      <c r="C464" s="72"/>
      <c r="D464" s="54">
        <v>455</v>
      </c>
      <c r="E464" s="70">
        <v>44493.59</v>
      </c>
      <c r="F464" s="75">
        <v>8456</v>
      </c>
      <c r="G464" s="75">
        <v>85560</v>
      </c>
      <c r="H464" s="194">
        <v>329056</v>
      </c>
      <c r="I464" s="194">
        <v>12341.76</v>
      </c>
      <c r="J464" s="75">
        <v>81753.173721494197</v>
      </c>
      <c r="K464" s="73"/>
      <c r="M464" s="72"/>
      <c r="N464" s="54">
        <v>455</v>
      </c>
      <c r="O464" s="70">
        <v>91366.217500000028</v>
      </c>
      <c r="P464" s="75">
        <v>14837</v>
      </c>
      <c r="Q464" s="75">
        <v>91442</v>
      </c>
      <c r="R464" s="194">
        <v>370158.96750000003</v>
      </c>
      <c r="S464" s="194">
        <v>6572.1</v>
      </c>
      <c r="T464" s="70">
        <v>1817.5325000000007</v>
      </c>
      <c r="U464" s="80">
        <v>81753.173721494197</v>
      </c>
      <c r="V464" s="73"/>
      <c r="X464" s="30"/>
      <c r="Y464" s="54">
        <v>455</v>
      </c>
      <c r="Z464" s="70">
        <v>46027.44999999999</v>
      </c>
      <c r="AA464" s="75">
        <v>10357</v>
      </c>
      <c r="AB464" s="75">
        <v>6692.72</v>
      </c>
      <c r="AC464" s="75">
        <v>76966.28</v>
      </c>
      <c r="AD464" s="194">
        <v>325431.05</v>
      </c>
      <c r="AE464" s="194">
        <v>7182.95</v>
      </c>
      <c r="AF464" s="76">
        <v>0.08</v>
      </c>
      <c r="AG464" s="70">
        <v>3624.9500000000007</v>
      </c>
      <c r="AH464" s="31"/>
    </row>
    <row r="465" spans="3:34" x14ac:dyDescent="0.25">
      <c r="C465" s="72"/>
      <c r="D465" s="54">
        <v>456</v>
      </c>
      <c r="E465" s="70">
        <v>30635.27</v>
      </c>
      <c r="F465" s="75">
        <v>9012</v>
      </c>
      <c r="G465" s="75">
        <v>80916</v>
      </c>
      <c r="H465" s="194">
        <v>314748</v>
      </c>
      <c r="I465" s="194">
        <v>11892.08</v>
      </c>
      <c r="J465" s="75">
        <v>81753.173721494197</v>
      </c>
      <c r="K465" s="73"/>
      <c r="M465" s="72"/>
      <c r="N465" s="54">
        <v>456</v>
      </c>
      <c r="O465" s="70">
        <v>63526.344999999987</v>
      </c>
      <c r="P465" s="75">
        <v>9818</v>
      </c>
      <c r="Q465" s="75">
        <v>88286</v>
      </c>
      <c r="R465" s="194">
        <v>342161.29499999998</v>
      </c>
      <c r="S465" s="194">
        <v>6414.3</v>
      </c>
      <c r="T465" s="70">
        <v>1202.7050000000006</v>
      </c>
      <c r="U465" s="80">
        <v>81753.173721494197</v>
      </c>
      <c r="V465" s="73"/>
      <c r="X465" s="30"/>
      <c r="Y465" s="54">
        <v>456</v>
      </c>
      <c r="Z465" s="70">
        <v>31282.150000000023</v>
      </c>
      <c r="AA465" s="75">
        <v>12496</v>
      </c>
      <c r="AB465" s="75">
        <v>5420.2400000000007</v>
      </c>
      <c r="AC465" s="75">
        <v>72011.759999999995</v>
      </c>
      <c r="AD465" s="194">
        <v>310374.40000000002</v>
      </c>
      <c r="AE465" s="194">
        <v>6871.6</v>
      </c>
      <c r="AF465" s="76">
        <v>7.0000000000000007E-2</v>
      </c>
      <c r="AG465" s="70">
        <v>4373.6000000000013</v>
      </c>
      <c r="AH465" s="31"/>
    </row>
    <row r="466" spans="3:34" x14ac:dyDescent="0.25">
      <c r="C466" s="72"/>
      <c r="D466" s="54">
        <v>457</v>
      </c>
      <c r="E466" s="70">
        <v>44493.59</v>
      </c>
      <c r="F466" s="75">
        <v>6454</v>
      </c>
      <c r="G466" s="75">
        <v>87562</v>
      </c>
      <c r="H466" s="194">
        <v>329056</v>
      </c>
      <c r="I466" s="194">
        <v>12341.76</v>
      </c>
      <c r="J466" s="75">
        <v>81753.173721494197</v>
      </c>
      <c r="K466" s="73"/>
      <c r="M466" s="72"/>
      <c r="N466" s="54">
        <v>457</v>
      </c>
      <c r="O466" s="70">
        <v>49168.270000000004</v>
      </c>
      <c r="P466" s="75">
        <v>13328</v>
      </c>
      <c r="Q466" s="75">
        <v>80688</v>
      </c>
      <c r="R466" s="194">
        <v>327423.32</v>
      </c>
      <c r="S466" s="194">
        <v>6034.4</v>
      </c>
      <c r="T466" s="70">
        <v>1632.6800000000007</v>
      </c>
      <c r="U466" s="80">
        <v>81753.173721494197</v>
      </c>
      <c r="V466" s="73"/>
      <c r="X466" s="30"/>
      <c r="Y466" s="54">
        <v>457</v>
      </c>
      <c r="Z466" s="70">
        <v>45699.250000000022</v>
      </c>
      <c r="AA466" s="75">
        <v>11451</v>
      </c>
      <c r="AB466" s="75">
        <v>4128.25</v>
      </c>
      <c r="AC466" s="75">
        <v>78436.75</v>
      </c>
      <c r="AD466" s="194">
        <v>325048.15000000002</v>
      </c>
      <c r="AE466" s="194">
        <v>7128.25</v>
      </c>
      <c r="AF466" s="76">
        <v>0.05</v>
      </c>
      <c r="AG466" s="70">
        <v>4007.8500000000008</v>
      </c>
      <c r="AH466" s="31"/>
    </row>
    <row r="467" spans="3:34" x14ac:dyDescent="0.25">
      <c r="C467" s="72"/>
      <c r="D467" s="54">
        <v>458</v>
      </c>
      <c r="E467" s="70">
        <v>30635.27</v>
      </c>
      <c r="F467" s="75">
        <v>5528</v>
      </c>
      <c r="G467" s="75">
        <v>84400</v>
      </c>
      <c r="H467" s="194">
        <v>314748</v>
      </c>
      <c r="I467" s="194">
        <v>11892.08</v>
      </c>
      <c r="J467" s="75">
        <v>81753.173721494197</v>
      </c>
      <c r="K467" s="73"/>
      <c r="M467" s="72"/>
      <c r="N467" s="54">
        <v>458</v>
      </c>
      <c r="O467" s="70">
        <v>63244.68250000001</v>
      </c>
      <c r="P467" s="75">
        <v>13703</v>
      </c>
      <c r="Q467" s="75">
        <v>84401</v>
      </c>
      <c r="R467" s="194">
        <v>341685.38250000001</v>
      </c>
      <c r="S467" s="194">
        <v>6220.05</v>
      </c>
      <c r="T467" s="70">
        <v>1678.6175000000007</v>
      </c>
      <c r="U467" s="80">
        <v>81753.173721494197</v>
      </c>
      <c r="V467" s="73"/>
      <c r="X467" s="30"/>
      <c r="Y467" s="54">
        <v>458</v>
      </c>
      <c r="Z467" s="70">
        <v>86669.199999999983</v>
      </c>
      <c r="AA467" s="75">
        <v>15909</v>
      </c>
      <c r="AB467" s="75">
        <v>8133.2999999999993</v>
      </c>
      <c r="AC467" s="75">
        <v>82236.7</v>
      </c>
      <c r="AD467" s="194">
        <v>366408.35</v>
      </c>
      <c r="AE467" s="194">
        <v>7518.5</v>
      </c>
      <c r="AF467" s="76">
        <v>0.09</v>
      </c>
      <c r="AG467" s="70">
        <v>5568.1500000000015</v>
      </c>
      <c r="AH467" s="31"/>
    </row>
    <row r="468" spans="3:34" x14ac:dyDescent="0.25">
      <c r="C468" s="72"/>
      <c r="D468" s="54">
        <v>459</v>
      </c>
      <c r="E468" s="70">
        <v>86065.16</v>
      </c>
      <c r="F468" s="75">
        <v>7322</v>
      </c>
      <c r="G468" s="75">
        <v>98957</v>
      </c>
      <c r="H468" s="194">
        <v>371976.5</v>
      </c>
      <c r="I468" s="194">
        <v>13690.69</v>
      </c>
      <c r="J468" s="75">
        <v>81753.173721494197</v>
      </c>
      <c r="K468" s="73"/>
      <c r="M468" s="72"/>
      <c r="N468" s="54">
        <v>459</v>
      </c>
      <c r="O468" s="70">
        <v>35253.46</v>
      </c>
      <c r="P468" s="75">
        <v>10724</v>
      </c>
      <c r="Q468" s="75">
        <v>79204</v>
      </c>
      <c r="R468" s="194">
        <v>313434.31</v>
      </c>
      <c r="S468" s="194">
        <v>5960.2000000000007</v>
      </c>
      <c r="T468" s="70">
        <v>1313.6900000000005</v>
      </c>
      <c r="U468" s="80">
        <v>81753.173721494197</v>
      </c>
      <c r="V468" s="73"/>
      <c r="X468" s="30"/>
      <c r="Y468" s="54">
        <v>459</v>
      </c>
      <c r="Z468" s="70">
        <v>45706.44999999999</v>
      </c>
      <c r="AA468" s="75">
        <v>11427</v>
      </c>
      <c r="AB468" s="75">
        <v>7433.0099999999993</v>
      </c>
      <c r="AC468" s="75">
        <v>75155.990000000005</v>
      </c>
      <c r="AD468" s="194">
        <v>325056.55</v>
      </c>
      <c r="AE468" s="194">
        <v>7129.45</v>
      </c>
      <c r="AF468" s="76">
        <v>0.09</v>
      </c>
      <c r="AG468" s="70">
        <v>3999.4500000000012</v>
      </c>
      <c r="AH468" s="31"/>
    </row>
    <row r="469" spans="3:34" x14ac:dyDescent="0.25">
      <c r="C469" s="72"/>
      <c r="D469" s="54">
        <v>460</v>
      </c>
      <c r="E469" s="70">
        <v>44493.59</v>
      </c>
      <c r="F469" s="75">
        <v>7563</v>
      </c>
      <c r="G469" s="75">
        <v>86453</v>
      </c>
      <c r="H469" s="194">
        <v>329056</v>
      </c>
      <c r="I469" s="194">
        <v>12341.76</v>
      </c>
      <c r="J469" s="75">
        <v>81753.173721494197</v>
      </c>
      <c r="K469" s="73"/>
      <c r="M469" s="72"/>
      <c r="N469" s="54">
        <v>460</v>
      </c>
      <c r="O469" s="70">
        <v>63247.872500000019</v>
      </c>
      <c r="P469" s="75">
        <v>13659</v>
      </c>
      <c r="Q469" s="75">
        <v>84445</v>
      </c>
      <c r="R469" s="194">
        <v>341690.77250000002</v>
      </c>
      <c r="S469" s="194">
        <v>6222.25</v>
      </c>
      <c r="T469" s="70">
        <v>1673.2275000000006</v>
      </c>
      <c r="U469" s="80">
        <v>81753.173721494197</v>
      </c>
      <c r="V469" s="73"/>
      <c r="X469" s="30"/>
      <c r="Y469" s="54">
        <v>460</v>
      </c>
      <c r="Z469" s="70">
        <v>46070.349999999977</v>
      </c>
      <c r="AA469" s="75">
        <v>10214</v>
      </c>
      <c r="AB469" s="75">
        <v>7542.1799999999994</v>
      </c>
      <c r="AC469" s="75">
        <v>76259.820000000007</v>
      </c>
      <c r="AD469" s="194">
        <v>325481.09999999998</v>
      </c>
      <c r="AE469" s="194">
        <v>7190.1</v>
      </c>
      <c r="AF469" s="76">
        <v>0.09</v>
      </c>
      <c r="AG469" s="70">
        <v>3574.900000000001</v>
      </c>
      <c r="AH469" s="31"/>
    </row>
    <row r="470" spans="3:34" x14ac:dyDescent="0.25">
      <c r="C470" s="72"/>
      <c r="D470" s="54">
        <v>461</v>
      </c>
      <c r="E470" s="70">
        <v>58351.91</v>
      </c>
      <c r="F470" s="75">
        <v>7941</v>
      </c>
      <c r="G470" s="75">
        <v>90163</v>
      </c>
      <c r="H470" s="194">
        <v>343364</v>
      </c>
      <c r="I470" s="194">
        <v>12791.44</v>
      </c>
      <c r="J470" s="75">
        <v>81753.173721494197</v>
      </c>
      <c r="K470" s="73"/>
      <c r="M470" s="72"/>
      <c r="N470" s="54">
        <v>461</v>
      </c>
      <c r="O470" s="70">
        <v>63377.067500000005</v>
      </c>
      <c r="P470" s="75">
        <v>11877</v>
      </c>
      <c r="Q470" s="75">
        <v>86227</v>
      </c>
      <c r="R470" s="194">
        <v>341909.0675</v>
      </c>
      <c r="S470" s="194">
        <v>6311.35</v>
      </c>
      <c r="T470" s="70">
        <v>1454.9325000000006</v>
      </c>
      <c r="U470" s="80">
        <v>81753.173721494197</v>
      </c>
      <c r="V470" s="73"/>
      <c r="X470" s="30"/>
      <c r="Y470" s="54">
        <v>461</v>
      </c>
      <c r="Z470" s="70">
        <v>59104.449999999975</v>
      </c>
      <c r="AA470" s="75">
        <v>13779</v>
      </c>
      <c r="AB470" s="75">
        <v>7589.25</v>
      </c>
      <c r="AC470" s="75">
        <v>76735.75</v>
      </c>
      <c r="AD470" s="194">
        <v>338541.35</v>
      </c>
      <c r="AE470" s="194">
        <v>7216.25</v>
      </c>
      <c r="AF470" s="76">
        <v>0.09</v>
      </c>
      <c r="AG470" s="70">
        <v>4822.6500000000015</v>
      </c>
      <c r="AH470" s="31"/>
    </row>
    <row r="471" spans="3:34" x14ac:dyDescent="0.25">
      <c r="C471" s="72"/>
      <c r="D471" s="54">
        <v>462</v>
      </c>
      <c r="E471" s="70">
        <v>58351.91</v>
      </c>
      <c r="F471" s="75">
        <v>5914</v>
      </c>
      <c r="G471" s="75">
        <v>92190</v>
      </c>
      <c r="H471" s="194">
        <v>343364</v>
      </c>
      <c r="I471" s="194">
        <v>12791.44</v>
      </c>
      <c r="J471" s="75">
        <v>81753.173721494197</v>
      </c>
      <c r="K471" s="73"/>
      <c r="M471" s="72"/>
      <c r="N471" s="54">
        <v>462</v>
      </c>
      <c r="O471" s="70">
        <v>63443.695000000022</v>
      </c>
      <c r="P471" s="75">
        <v>10958</v>
      </c>
      <c r="Q471" s="75">
        <v>87146</v>
      </c>
      <c r="R471" s="194">
        <v>342021.64500000002</v>
      </c>
      <c r="S471" s="194">
        <v>6357.3</v>
      </c>
      <c r="T471" s="70">
        <v>1342.3550000000005</v>
      </c>
      <c r="U471" s="80">
        <v>81753.173721494197</v>
      </c>
      <c r="V471" s="73"/>
      <c r="X471" s="30"/>
      <c r="Y471" s="54">
        <v>462</v>
      </c>
      <c r="Z471" s="70">
        <v>86741.799999999988</v>
      </c>
      <c r="AA471" s="75">
        <v>15667</v>
      </c>
      <c r="AB471" s="75">
        <v>7248.96</v>
      </c>
      <c r="AC471" s="75">
        <v>83363.039999999994</v>
      </c>
      <c r="AD471" s="194">
        <v>366493.05</v>
      </c>
      <c r="AE471" s="194">
        <v>7530.6</v>
      </c>
      <c r="AF471" s="76">
        <v>0.08</v>
      </c>
      <c r="AG471" s="70">
        <v>5483.4500000000016</v>
      </c>
      <c r="AH471" s="31"/>
    </row>
    <row r="472" spans="3:34" x14ac:dyDescent="0.25">
      <c r="C472" s="72"/>
      <c r="D472" s="54">
        <v>463</v>
      </c>
      <c r="E472" s="70">
        <v>44493.59</v>
      </c>
      <c r="F472" s="75">
        <v>4782</v>
      </c>
      <c r="G472" s="75">
        <v>89234</v>
      </c>
      <c r="H472" s="194">
        <v>329056</v>
      </c>
      <c r="I472" s="194">
        <v>12341.76</v>
      </c>
      <c r="J472" s="75">
        <v>81753.173721494197</v>
      </c>
      <c r="K472" s="73"/>
      <c r="M472" s="72"/>
      <c r="N472" s="54">
        <v>463</v>
      </c>
      <c r="O472" s="70">
        <v>63455.802499999976</v>
      </c>
      <c r="P472" s="75">
        <v>10791</v>
      </c>
      <c r="Q472" s="75">
        <v>87313</v>
      </c>
      <c r="R472" s="194">
        <v>342042.10249999998</v>
      </c>
      <c r="S472" s="194">
        <v>6365.6500000000005</v>
      </c>
      <c r="T472" s="70">
        <v>1321.8975000000005</v>
      </c>
      <c r="U472" s="80">
        <v>81753.173721494197</v>
      </c>
      <c r="V472" s="73"/>
      <c r="X472" s="30"/>
      <c r="Y472" s="54">
        <v>463</v>
      </c>
      <c r="Z472" s="70">
        <v>60258.250000000015</v>
      </c>
      <c r="AA472" s="75">
        <v>9933</v>
      </c>
      <c r="AB472" s="75">
        <v>8817.1</v>
      </c>
      <c r="AC472" s="75">
        <v>79353.899999999994</v>
      </c>
      <c r="AD472" s="194">
        <v>339887.45</v>
      </c>
      <c r="AE472" s="194">
        <v>7408.55</v>
      </c>
      <c r="AF472" s="76">
        <v>0.1</v>
      </c>
      <c r="AG472" s="70">
        <v>3476.5500000000011</v>
      </c>
      <c r="AH472" s="31"/>
    </row>
    <row r="473" spans="3:34" x14ac:dyDescent="0.25">
      <c r="C473" s="72"/>
      <c r="D473" s="54">
        <v>464</v>
      </c>
      <c r="E473" s="70">
        <v>44493.59</v>
      </c>
      <c r="F473" s="75">
        <v>4668</v>
      </c>
      <c r="G473" s="75">
        <v>89348</v>
      </c>
      <c r="H473" s="194">
        <v>329056</v>
      </c>
      <c r="I473" s="194">
        <v>12341.76</v>
      </c>
      <c r="J473" s="75">
        <v>81753.173721494197</v>
      </c>
      <c r="K473" s="73"/>
      <c r="M473" s="72"/>
      <c r="N473" s="54">
        <v>464</v>
      </c>
      <c r="O473" s="70">
        <v>63444.854999999981</v>
      </c>
      <c r="P473" s="75">
        <v>10942</v>
      </c>
      <c r="Q473" s="75">
        <v>87162</v>
      </c>
      <c r="R473" s="194">
        <v>342023.60499999998</v>
      </c>
      <c r="S473" s="194">
        <v>6358.1</v>
      </c>
      <c r="T473" s="70">
        <v>1340.3950000000007</v>
      </c>
      <c r="U473" s="80">
        <v>81753.173721494197</v>
      </c>
      <c r="V473" s="73"/>
      <c r="X473" s="30"/>
      <c r="Y473" s="54">
        <v>464</v>
      </c>
      <c r="Z473" s="70">
        <v>31032.849999999988</v>
      </c>
      <c r="AA473" s="75">
        <v>13327</v>
      </c>
      <c r="AB473" s="75">
        <v>5362.0700000000006</v>
      </c>
      <c r="AC473" s="75">
        <v>71238.929999999993</v>
      </c>
      <c r="AD473" s="194">
        <v>310083.55</v>
      </c>
      <c r="AE473" s="194">
        <v>6830.05</v>
      </c>
      <c r="AF473" s="76">
        <v>7.0000000000000007E-2</v>
      </c>
      <c r="AG473" s="70">
        <v>4664.4500000000016</v>
      </c>
      <c r="AH473" s="31"/>
    </row>
    <row r="474" spans="3:34" x14ac:dyDescent="0.25">
      <c r="C474" s="72"/>
      <c r="D474" s="54">
        <v>465</v>
      </c>
      <c r="E474" s="70">
        <v>44493.59</v>
      </c>
      <c r="F474" s="75">
        <v>6519</v>
      </c>
      <c r="G474" s="75">
        <v>87497</v>
      </c>
      <c r="H474" s="194">
        <v>329056</v>
      </c>
      <c r="I474" s="194">
        <v>12341.76</v>
      </c>
      <c r="J474" s="75">
        <v>81753.173721494197</v>
      </c>
      <c r="K474" s="73"/>
      <c r="M474" s="72"/>
      <c r="N474" s="54">
        <v>465</v>
      </c>
      <c r="O474" s="70">
        <v>49178.057499999981</v>
      </c>
      <c r="P474" s="75">
        <v>13193</v>
      </c>
      <c r="Q474" s="75">
        <v>80823</v>
      </c>
      <c r="R474" s="194">
        <v>327439.85749999998</v>
      </c>
      <c r="S474" s="194">
        <v>6041.15</v>
      </c>
      <c r="T474" s="70">
        <v>1616.1425000000006</v>
      </c>
      <c r="U474" s="80">
        <v>81753.173721494197</v>
      </c>
      <c r="V474" s="73"/>
      <c r="X474" s="30"/>
      <c r="Y474" s="54">
        <v>465</v>
      </c>
      <c r="Z474" s="70">
        <v>31275.55000000001</v>
      </c>
      <c r="AA474" s="75">
        <v>12518</v>
      </c>
      <c r="AB474" s="75">
        <v>6192.8</v>
      </c>
      <c r="AC474" s="75">
        <v>71217.2</v>
      </c>
      <c r="AD474" s="194">
        <v>310366.7</v>
      </c>
      <c r="AE474" s="194">
        <v>6870.5</v>
      </c>
      <c r="AF474" s="76">
        <v>0.08</v>
      </c>
      <c r="AG474" s="70">
        <v>4381.3000000000011</v>
      </c>
      <c r="AH474" s="31"/>
    </row>
    <row r="475" spans="3:34" x14ac:dyDescent="0.25">
      <c r="C475" s="72"/>
      <c r="D475" s="54">
        <v>466</v>
      </c>
      <c r="E475" s="70">
        <v>58351.91</v>
      </c>
      <c r="F475" s="75">
        <v>6965</v>
      </c>
      <c r="G475" s="75">
        <v>91139</v>
      </c>
      <c r="H475" s="194">
        <v>343364</v>
      </c>
      <c r="I475" s="194">
        <v>12791.44</v>
      </c>
      <c r="J475" s="75">
        <v>81753.173721494197</v>
      </c>
      <c r="K475" s="73"/>
      <c r="M475" s="72"/>
      <c r="N475" s="54">
        <v>466</v>
      </c>
      <c r="O475" s="70">
        <v>35123.394999999982</v>
      </c>
      <c r="P475" s="75">
        <v>12518</v>
      </c>
      <c r="Q475" s="75">
        <v>77410</v>
      </c>
      <c r="R475" s="194">
        <v>313214.54499999998</v>
      </c>
      <c r="S475" s="194">
        <v>5870.5</v>
      </c>
      <c r="T475" s="70">
        <v>1533.4550000000006</v>
      </c>
      <c r="U475" s="80">
        <v>81753.173721494197</v>
      </c>
      <c r="V475" s="73"/>
      <c r="X475" s="30"/>
      <c r="Y475" s="54">
        <v>466</v>
      </c>
      <c r="Z475" s="70">
        <v>60003.85000000002</v>
      </c>
      <c r="AA475" s="75">
        <v>10781</v>
      </c>
      <c r="AB475" s="75">
        <v>7859.07</v>
      </c>
      <c r="AC475" s="75">
        <v>79463.929999999993</v>
      </c>
      <c r="AD475" s="194">
        <v>339590.65</v>
      </c>
      <c r="AE475" s="194">
        <v>7366.1500000000005</v>
      </c>
      <c r="AF475" s="76">
        <v>0.09</v>
      </c>
      <c r="AG475" s="70">
        <v>3773.3500000000008</v>
      </c>
      <c r="AH475" s="31"/>
    </row>
    <row r="476" spans="3:34" x14ac:dyDescent="0.25">
      <c r="C476" s="72"/>
      <c r="D476" s="54">
        <v>467</v>
      </c>
      <c r="E476" s="70">
        <v>58351.91</v>
      </c>
      <c r="F476" s="75">
        <v>6929</v>
      </c>
      <c r="G476" s="75">
        <v>91175</v>
      </c>
      <c r="H476" s="194">
        <v>343364</v>
      </c>
      <c r="I476" s="194">
        <v>12791.44</v>
      </c>
      <c r="J476" s="75">
        <v>81753.173721494197</v>
      </c>
      <c r="K476" s="73"/>
      <c r="M476" s="72"/>
      <c r="N476" s="54">
        <v>467</v>
      </c>
      <c r="O476" s="70">
        <v>63379.17</v>
      </c>
      <c r="P476" s="75">
        <v>11848</v>
      </c>
      <c r="Q476" s="75">
        <v>86256</v>
      </c>
      <c r="R476" s="194">
        <v>341912.62</v>
      </c>
      <c r="S476" s="194">
        <v>6312.8</v>
      </c>
      <c r="T476" s="70">
        <v>1451.3800000000006</v>
      </c>
      <c r="U476" s="80">
        <v>81753.173721494197</v>
      </c>
      <c r="V476" s="73"/>
      <c r="X476" s="30"/>
      <c r="Y476" s="54">
        <v>467</v>
      </c>
      <c r="Z476" s="70">
        <v>45727.750000000022</v>
      </c>
      <c r="AA476" s="75">
        <v>11356</v>
      </c>
      <c r="AB476" s="75">
        <v>6612.8</v>
      </c>
      <c r="AC476" s="75">
        <v>76047.199999999997</v>
      </c>
      <c r="AD476" s="194">
        <v>325081.40000000002</v>
      </c>
      <c r="AE476" s="194">
        <v>7133</v>
      </c>
      <c r="AF476" s="76">
        <v>0.08</v>
      </c>
      <c r="AG476" s="70">
        <v>3974.6000000000008</v>
      </c>
      <c r="AH476" s="31"/>
    </row>
    <row r="477" spans="3:34" x14ac:dyDescent="0.25">
      <c r="C477" s="72"/>
      <c r="D477" s="54">
        <v>468</v>
      </c>
      <c r="E477" s="70">
        <v>58351.91</v>
      </c>
      <c r="F477" s="75">
        <v>4867</v>
      </c>
      <c r="G477" s="75">
        <v>93237</v>
      </c>
      <c r="H477" s="194">
        <v>343364</v>
      </c>
      <c r="I477" s="194">
        <v>12791.44</v>
      </c>
      <c r="J477" s="75">
        <v>81753.173721494197</v>
      </c>
      <c r="K477" s="73"/>
      <c r="M477" s="72"/>
      <c r="N477" s="54">
        <v>468</v>
      </c>
      <c r="O477" s="70">
        <v>35250.052499999991</v>
      </c>
      <c r="P477" s="75">
        <v>10771</v>
      </c>
      <c r="Q477" s="75">
        <v>79157</v>
      </c>
      <c r="R477" s="194">
        <v>313428.55249999999</v>
      </c>
      <c r="S477" s="194">
        <v>5957.85</v>
      </c>
      <c r="T477" s="70">
        <v>1319.4475000000007</v>
      </c>
      <c r="U477" s="80">
        <v>81753.173721494197</v>
      </c>
      <c r="V477" s="73"/>
      <c r="X477" s="30"/>
      <c r="Y477" s="54">
        <v>468</v>
      </c>
      <c r="Z477" s="70">
        <v>31796.650000000023</v>
      </c>
      <c r="AA477" s="75">
        <v>10781</v>
      </c>
      <c r="AB477" s="75">
        <v>4748.82</v>
      </c>
      <c r="AC477" s="75">
        <v>74398.179999999993</v>
      </c>
      <c r="AD477" s="194">
        <v>310974.65000000002</v>
      </c>
      <c r="AE477" s="194">
        <v>6957.35</v>
      </c>
      <c r="AF477" s="76">
        <v>0.06</v>
      </c>
      <c r="AG477" s="70">
        <v>3773.3500000000008</v>
      </c>
      <c r="AH477" s="31"/>
    </row>
    <row r="478" spans="3:34" x14ac:dyDescent="0.25">
      <c r="C478" s="72"/>
      <c r="D478" s="54">
        <v>469</v>
      </c>
      <c r="E478" s="70">
        <v>44493.59</v>
      </c>
      <c r="F478" s="75">
        <v>6649</v>
      </c>
      <c r="G478" s="75">
        <v>87367</v>
      </c>
      <c r="H478" s="194">
        <v>329056</v>
      </c>
      <c r="I478" s="194">
        <v>12341.76</v>
      </c>
      <c r="J478" s="75">
        <v>81753.173721494197</v>
      </c>
      <c r="K478" s="73"/>
      <c r="M478" s="72"/>
      <c r="N478" s="54">
        <v>469</v>
      </c>
      <c r="O478" s="70">
        <v>91436.469999999987</v>
      </c>
      <c r="P478" s="75">
        <v>13868</v>
      </c>
      <c r="Q478" s="75">
        <v>92411</v>
      </c>
      <c r="R478" s="194">
        <v>370277.67</v>
      </c>
      <c r="S478" s="194">
        <v>6620.55</v>
      </c>
      <c r="T478" s="70">
        <v>1698.8300000000008</v>
      </c>
      <c r="U478" s="80">
        <v>81753.173721494197</v>
      </c>
      <c r="V478" s="73"/>
      <c r="X478" s="30"/>
      <c r="Y478" s="54">
        <v>469</v>
      </c>
      <c r="Z478" s="70">
        <v>31019.650000000023</v>
      </c>
      <c r="AA478" s="75">
        <v>13371</v>
      </c>
      <c r="AB478" s="75">
        <v>7655.7000000000007</v>
      </c>
      <c r="AC478" s="75">
        <v>68901.3</v>
      </c>
      <c r="AD478" s="194">
        <v>310068.15000000002</v>
      </c>
      <c r="AE478" s="194">
        <v>6827.85</v>
      </c>
      <c r="AF478" s="76">
        <v>0.1</v>
      </c>
      <c r="AG478" s="70">
        <v>4679.8500000000013</v>
      </c>
      <c r="AH478" s="31"/>
    </row>
    <row r="479" spans="3:34" x14ac:dyDescent="0.25">
      <c r="C479" s="72"/>
      <c r="D479" s="54">
        <v>470</v>
      </c>
      <c r="E479" s="70">
        <v>58351.91</v>
      </c>
      <c r="F479" s="75">
        <v>7936</v>
      </c>
      <c r="G479" s="75">
        <v>90168</v>
      </c>
      <c r="H479" s="194">
        <v>343364</v>
      </c>
      <c r="I479" s="194">
        <v>12791.44</v>
      </c>
      <c r="J479" s="75">
        <v>81753.173721494197</v>
      </c>
      <c r="K479" s="73"/>
      <c r="M479" s="72"/>
      <c r="N479" s="54">
        <v>470</v>
      </c>
      <c r="O479" s="70">
        <v>63307.539999999964</v>
      </c>
      <c r="P479" s="75">
        <v>12836</v>
      </c>
      <c r="Q479" s="75">
        <v>85268</v>
      </c>
      <c r="R479" s="194">
        <v>341791.58999999997</v>
      </c>
      <c r="S479" s="194">
        <v>6263.4000000000005</v>
      </c>
      <c r="T479" s="70">
        <v>1572.4100000000008</v>
      </c>
      <c r="U479" s="80">
        <v>81753.173721494197</v>
      </c>
      <c r="V479" s="73"/>
      <c r="X479" s="30"/>
      <c r="Y479" s="54">
        <v>470</v>
      </c>
      <c r="Z479" s="70">
        <v>87265.60000000002</v>
      </c>
      <c r="AA479" s="75">
        <v>13921</v>
      </c>
      <c r="AB479" s="75">
        <v>5541.48</v>
      </c>
      <c r="AC479" s="75">
        <v>86816.52</v>
      </c>
      <c r="AD479" s="194">
        <v>367104.15</v>
      </c>
      <c r="AE479" s="194">
        <v>7617.9000000000005</v>
      </c>
      <c r="AF479" s="76">
        <v>0.06</v>
      </c>
      <c r="AG479" s="70">
        <v>4872.3500000000013</v>
      </c>
      <c r="AH479" s="31"/>
    </row>
    <row r="480" spans="3:34" x14ac:dyDescent="0.25">
      <c r="C480" s="72"/>
      <c r="D480" s="54">
        <v>471</v>
      </c>
      <c r="E480" s="70">
        <v>58351.91</v>
      </c>
      <c r="F480" s="75">
        <v>7005</v>
      </c>
      <c r="G480" s="75">
        <v>91099</v>
      </c>
      <c r="H480" s="194">
        <v>343364</v>
      </c>
      <c r="I480" s="194">
        <v>12791.44</v>
      </c>
      <c r="J480" s="75">
        <v>81753.173721494197</v>
      </c>
      <c r="K480" s="73"/>
      <c r="M480" s="72"/>
      <c r="N480" s="54">
        <v>471</v>
      </c>
      <c r="O480" s="70">
        <v>49240.625000000015</v>
      </c>
      <c r="P480" s="75">
        <v>12330</v>
      </c>
      <c r="Q480" s="75">
        <v>81686</v>
      </c>
      <c r="R480" s="194">
        <v>327545.57500000001</v>
      </c>
      <c r="S480" s="194">
        <v>6084.3</v>
      </c>
      <c r="T480" s="70">
        <v>1510.4250000000006</v>
      </c>
      <c r="U480" s="80">
        <v>81753.173721494197</v>
      </c>
      <c r="V480" s="73"/>
      <c r="X480" s="30"/>
      <c r="Y480" s="54">
        <v>471</v>
      </c>
      <c r="Z480" s="70">
        <v>45171.250000000022</v>
      </c>
      <c r="AA480" s="75">
        <v>13211</v>
      </c>
      <c r="AB480" s="75">
        <v>8080.5</v>
      </c>
      <c r="AC480" s="75">
        <v>72724.5</v>
      </c>
      <c r="AD480" s="194">
        <v>324432.15000000002</v>
      </c>
      <c r="AE480" s="194">
        <v>7040.25</v>
      </c>
      <c r="AF480" s="76">
        <v>0.1</v>
      </c>
      <c r="AG480" s="70">
        <v>4623.8500000000013</v>
      </c>
      <c r="AH480" s="31"/>
    </row>
    <row r="481" spans="3:34" x14ac:dyDescent="0.25">
      <c r="C481" s="72"/>
      <c r="D481" s="54">
        <v>472</v>
      </c>
      <c r="E481" s="70">
        <v>44493.59</v>
      </c>
      <c r="F481" s="75">
        <v>9381</v>
      </c>
      <c r="G481" s="75">
        <v>84635</v>
      </c>
      <c r="H481" s="194">
        <v>329056</v>
      </c>
      <c r="I481" s="194">
        <v>12341.76</v>
      </c>
      <c r="J481" s="75">
        <v>81753.173721494197</v>
      </c>
      <c r="K481" s="73"/>
      <c r="M481" s="72"/>
      <c r="N481" s="54">
        <v>472</v>
      </c>
      <c r="O481" s="70">
        <v>63533.594999999987</v>
      </c>
      <c r="P481" s="75">
        <v>9718</v>
      </c>
      <c r="Q481" s="75">
        <v>88386</v>
      </c>
      <c r="R481" s="194">
        <v>342173.54499999998</v>
      </c>
      <c r="S481" s="194">
        <v>6419.3</v>
      </c>
      <c r="T481" s="70">
        <v>1190.4550000000006</v>
      </c>
      <c r="U481" s="80">
        <v>81753.173721494197</v>
      </c>
      <c r="V481" s="73"/>
      <c r="X481" s="30"/>
      <c r="Y481" s="54">
        <v>472</v>
      </c>
      <c r="Z481" s="70">
        <v>46341.250000000022</v>
      </c>
      <c r="AA481" s="75">
        <v>9311</v>
      </c>
      <c r="AB481" s="75">
        <v>5929.35</v>
      </c>
      <c r="AC481" s="75">
        <v>78775.649999999994</v>
      </c>
      <c r="AD481" s="194">
        <v>325797.15000000002</v>
      </c>
      <c r="AE481" s="194">
        <v>7235.25</v>
      </c>
      <c r="AF481" s="76">
        <v>7.0000000000000007E-2</v>
      </c>
      <c r="AG481" s="70">
        <v>3258.8500000000008</v>
      </c>
      <c r="AH481" s="31"/>
    </row>
    <row r="482" spans="3:34" x14ac:dyDescent="0.25">
      <c r="C482" s="72"/>
      <c r="D482" s="54">
        <v>473</v>
      </c>
      <c r="E482" s="70">
        <v>58351.91</v>
      </c>
      <c r="F482" s="75">
        <v>6813</v>
      </c>
      <c r="G482" s="75">
        <v>91291</v>
      </c>
      <c r="H482" s="194">
        <v>343364</v>
      </c>
      <c r="I482" s="194">
        <v>12791.44</v>
      </c>
      <c r="J482" s="75">
        <v>81753.173721494197</v>
      </c>
      <c r="K482" s="73"/>
      <c r="M482" s="72"/>
      <c r="N482" s="54">
        <v>473</v>
      </c>
      <c r="O482" s="70">
        <v>49454.427500000013</v>
      </c>
      <c r="P482" s="75">
        <v>9381</v>
      </c>
      <c r="Q482" s="75">
        <v>84635</v>
      </c>
      <c r="R482" s="194">
        <v>327906.82750000001</v>
      </c>
      <c r="S482" s="194">
        <v>6231.75</v>
      </c>
      <c r="T482" s="70">
        <v>1149.1725000000006</v>
      </c>
      <c r="U482" s="80">
        <v>81753.173721494197</v>
      </c>
      <c r="V482" s="73"/>
      <c r="X482" s="30"/>
      <c r="Y482" s="54">
        <v>473</v>
      </c>
      <c r="Z482" s="70">
        <v>32041.749999999978</v>
      </c>
      <c r="AA482" s="75">
        <v>9964</v>
      </c>
      <c r="AB482" s="75">
        <v>3998.2000000000003</v>
      </c>
      <c r="AC482" s="75">
        <v>75965.8</v>
      </c>
      <c r="AD482" s="194">
        <v>311260.59999999998</v>
      </c>
      <c r="AE482" s="194">
        <v>6998.2000000000007</v>
      </c>
      <c r="AF482" s="76">
        <v>0.05</v>
      </c>
      <c r="AG482" s="70">
        <v>3487.400000000001</v>
      </c>
      <c r="AH482" s="31"/>
    </row>
    <row r="483" spans="3:34" x14ac:dyDescent="0.25">
      <c r="C483" s="72"/>
      <c r="D483" s="54">
        <v>474</v>
      </c>
      <c r="E483" s="70">
        <v>44493.59</v>
      </c>
      <c r="F483" s="75">
        <v>8433</v>
      </c>
      <c r="G483" s="75">
        <v>85583</v>
      </c>
      <c r="H483" s="194">
        <v>329056</v>
      </c>
      <c r="I483" s="194">
        <v>12341.76</v>
      </c>
      <c r="J483" s="75">
        <v>81753.173721494197</v>
      </c>
      <c r="K483" s="73"/>
      <c r="M483" s="72"/>
      <c r="N483" s="54">
        <v>474</v>
      </c>
      <c r="O483" s="70">
        <v>49457.617500000029</v>
      </c>
      <c r="P483" s="75">
        <v>9337</v>
      </c>
      <c r="Q483" s="75">
        <v>84679</v>
      </c>
      <c r="R483" s="194">
        <v>327912.21750000003</v>
      </c>
      <c r="S483" s="194">
        <v>6233.95</v>
      </c>
      <c r="T483" s="70">
        <v>1143.7825000000005</v>
      </c>
      <c r="U483" s="80">
        <v>81753.173721494197</v>
      </c>
      <c r="V483" s="73"/>
      <c r="X483" s="30"/>
      <c r="Y483" s="54">
        <v>474</v>
      </c>
      <c r="Z483" s="70">
        <v>45713.94999999999</v>
      </c>
      <c r="AA483" s="75">
        <v>11402</v>
      </c>
      <c r="AB483" s="75">
        <v>4956.84</v>
      </c>
      <c r="AC483" s="75">
        <v>77657.16</v>
      </c>
      <c r="AD483" s="194">
        <v>325065.3</v>
      </c>
      <c r="AE483" s="194">
        <v>7130.7</v>
      </c>
      <c r="AF483" s="76">
        <v>0.06</v>
      </c>
      <c r="AG483" s="70">
        <v>3990.7000000000012</v>
      </c>
      <c r="AH483" s="31"/>
    </row>
    <row r="484" spans="3:34" x14ac:dyDescent="0.25">
      <c r="C484" s="72"/>
      <c r="D484" s="54">
        <v>475</v>
      </c>
      <c r="E484" s="70">
        <v>58351.91</v>
      </c>
      <c r="F484" s="75">
        <v>5814</v>
      </c>
      <c r="G484" s="75">
        <v>92290</v>
      </c>
      <c r="H484" s="194">
        <v>343364</v>
      </c>
      <c r="I484" s="194">
        <v>12791.44</v>
      </c>
      <c r="J484" s="75">
        <v>81753.173721494197</v>
      </c>
      <c r="K484" s="73"/>
      <c r="M484" s="72"/>
      <c r="N484" s="54">
        <v>475</v>
      </c>
      <c r="O484" s="70">
        <v>35047.052499999991</v>
      </c>
      <c r="P484" s="75">
        <v>13571</v>
      </c>
      <c r="Q484" s="75">
        <v>76357</v>
      </c>
      <c r="R484" s="194">
        <v>313085.55249999999</v>
      </c>
      <c r="S484" s="194">
        <v>5817.85</v>
      </c>
      <c r="T484" s="70">
        <v>1662.4475000000007</v>
      </c>
      <c r="U484" s="80">
        <v>81753.173721494197</v>
      </c>
      <c r="V484" s="73"/>
      <c r="X484" s="30"/>
      <c r="Y484" s="54">
        <v>475</v>
      </c>
      <c r="Z484" s="70">
        <v>45163.150000000009</v>
      </c>
      <c r="AA484" s="75">
        <v>13238</v>
      </c>
      <c r="AB484" s="75">
        <v>6462.24</v>
      </c>
      <c r="AC484" s="75">
        <v>74315.759999999995</v>
      </c>
      <c r="AD484" s="194">
        <v>324422.7</v>
      </c>
      <c r="AE484" s="194">
        <v>7038.9</v>
      </c>
      <c r="AF484" s="76">
        <v>0.08</v>
      </c>
      <c r="AG484" s="70">
        <v>4633.3000000000011</v>
      </c>
      <c r="AH484" s="31"/>
    </row>
    <row r="485" spans="3:34" x14ac:dyDescent="0.25">
      <c r="C485" s="72"/>
      <c r="D485" s="54">
        <v>476</v>
      </c>
      <c r="E485" s="70">
        <v>44493.59</v>
      </c>
      <c r="F485" s="75">
        <v>7504</v>
      </c>
      <c r="G485" s="75">
        <v>86512</v>
      </c>
      <c r="H485" s="194">
        <v>329056</v>
      </c>
      <c r="I485" s="194">
        <v>12341.76</v>
      </c>
      <c r="J485" s="75">
        <v>81753.173721494197</v>
      </c>
      <c r="K485" s="73"/>
      <c r="M485" s="72"/>
      <c r="N485" s="54">
        <v>476</v>
      </c>
      <c r="O485" s="70">
        <v>49246.932499999981</v>
      </c>
      <c r="P485" s="75">
        <v>12243</v>
      </c>
      <c r="Q485" s="75">
        <v>81773</v>
      </c>
      <c r="R485" s="194">
        <v>327556.23249999998</v>
      </c>
      <c r="S485" s="194">
        <v>6088.65</v>
      </c>
      <c r="T485" s="70">
        <v>1499.7675000000006</v>
      </c>
      <c r="U485" s="80">
        <v>81753.173721494197</v>
      </c>
      <c r="V485" s="73"/>
      <c r="X485" s="30"/>
      <c r="Y485" s="54">
        <v>476</v>
      </c>
      <c r="Z485" s="70">
        <v>60271.750000000015</v>
      </c>
      <c r="AA485" s="75">
        <v>9888</v>
      </c>
      <c r="AB485" s="75">
        <v>8821.6</v>
      </c>
      <c r="AC485" s="75">
        <v>79394.399999999994</v>
      </c>
      <c r="AD485" s="194">
        <v>339903.2</v>
      </c>
      <c r="AE485" s="194">
        <v>7410.8</v>
      </c>
      <c r="AF485" s="76">
        <v>0.1</v>
      </c>
      <c r="AG485" s="70">
        <v>3460.8000000000011</v>
      </c>
      <c r="AH485" s="31"/>
    </row>
    <row r="486" spans="3:34" x14ac:dyDescent="0.25">
      <c r="C486" s="72"/>
      <c r="D486" s="54">
        <v>477</v>
      </c>
      <c r="E486" s="70">
        <v>86065.16</v>
      </c>
      <c r="F486" s="75">
        <v>9583</v>
      </c>
      <c r="G486" s="75">
        <v>96696</v>
      </c>
      <c r="H486" s="194">
        <v>371976.5</v>
      </c>
      <c r="I486" s="194">
        <v>13690.69</v>
      </c>
      <c r="J486" s="75">
        <v>81753.173721494197</v>
      </c>
      <c r="K486" s="73"/>
      <c r="M486" s="72"/>
      <c r="N486" s="54">
        <v>477</v>
      </c>
      <c r="O486" s="70">
        <v>49309.572500000009</v>
      </c>
      <c r="P486" s="75">
        <v>11379</v>
      </c>
      <c r="Q486" s="75">
        <v>82637</v>
      </c>
      <c r="R486" s="194">
        <v>327662.07250000001</v>
      </c>
      <c r="S486" s="194">
        <v>6131.85</v>
      </c>
      <c r="T486" s="70">
        <v>1393.9275000000007</v>
      </c>
      <c r="U486" s="80">
        <v>81753.173721494197</v>
      </c>
      <c r="V486" s="73"/>
      <c r="X486" s="30"/>
      <c r="Y486" s="54">
        <v>477</v>
      </c>
      <c r="Z486" s="70">
        <v>58834.449999999975</v>
      </c>
      <c r="AA486" s="75">
        <v>14679</v>
      </c>
      <c r="AB486" s="75">
        <v>8342.5</v>
      </c>
      <c r="AC486" s="75">
        <v>75082.5</v>
      </c>
      <c r="AD486" s="194">
        <v>338226.35</v>
      </c>
      <c r="AE486" s="194">
        <v>7171.25</v>
      </c>
      <c r="AF486" s="76">
        <v>0.1</v>
      </c>
      <c r="AG486" s="70">
        <v>5137.6500000000015</v>
      </c>
      <c r="AH486" s="31"/>
    </row>
    <row r="487" spans="3:34" x14ac:dyDescent="0.25">
      <c r="C487" s="72"/>
      <c r="D487" s="54">
        <v>478</v>
      </c>
      <c r="E487" s="70">
        <v>30635.27</v>
      </c>
      <c r="F487" s="75">
        <v>9066</v>
      </c>
      <c r="G487" s="75">
        <v>80862</v>
      </c>
      <c r="H487" s="194">
        <v>314748</v>
      </c>
      <c r="I487" s="194">
        <v>11892.08</v>
      </c>
      <c r="J487" s="75">
        <v>81753.173721494197</v>
      </c>
      <c r="K487" s="73"/>
      <c r="M487" s="72"/>
      <c r="N487" s="54">
        <v>478</v>
      </c>
      <c r="O487" s="70">
        <v>49384.609999999986</v>
      </c>
      <c r="P487" s="75">
        <v>10344</v>
      </c>
      <c r="Q487" s="75">
        <v>83672</v>
      </c>
      <c r="R487" s="194">
        <v>327788.86</v>
      </c>
      <c r="S487" s="194">
        <v>6183.6</v>
      </c>
      <c r="T487" s="70">
        <v>1267.1400000000006</v>
      </c>
      <c r="U487" s="80">
        <v>81753.173721494197</v>
      </c>
      <c r="V487" s="73"/>
      <c r="X487" s="30"/>
      <c r="Y487" s="54">
        <v>478</v>
      </c>
      <c r="Z487" s="70">
        <v>32304.55000000001</v>
      </c>
      <c r="AA487" s="75">
        <v>9088</v>
      </c>
      <c r="AB487" s="75">
        <v>7275.5999999999995</v>
      </c>
      <c r="AC487" s="75">
        <v>73564.399999999994</v>
      </c>
      <c r="AD487" s="194">
        <v>311567.2</v>
      </c>
      <c r="AE487" s="194">
        <v>7042</v>
      </c>
      <c r="AF487" s="76">
        <v>0.09</v>
      </c>
      <c r="AG487" s="70">
        <v>3180.8000000000006</v>
      </c>
      <c r="AH487" s="31"/>
    </row>
    <row r="488" spans="3:34" x14ac:dyDescent="0.25">
      <c r="C488" s="72"/>
      <c r="D488" s="54">
        <v>479</v>
      </c>
      <c r="E488" s="70">
        <v>44493.59</v>
      </c>
      <c r="F488" s="75">
        <v>9445</v>
      </c>
      <c r="G488" s="75">
        <v>84571</v>
      </c>
      <c r="H488" s="194">
        <v>329056</v>
      </c>
      <c r="I488" s="194">
        <v>12341.76</v>
      </c>
      <c r="J488" s="75">
        <v>81753.173721494197</v>
      </c>
      <c r="K488" s="73"/>
      <c r="M488" s="72"/>
      <c r="N488" s="54">
        <v>479</v>
      </c>
      <c r="O488" s="70">
        <v>63395.264999999999</v>
      </c>
      <c r="P488" s="75">
        <v>11626</v>
      </c>
      <c r="Q488" s="75">
        <v>86478</v>
      </c>
      <c r="R488" s="194">
        <v>341939.815</v>
      </c>
      <c r="S488" s="194">
        <v>6323.9000000000005</v>
      </c>
      <c r="T488" s="70">
        <v>1424.1850000000006</v>
      </c>
      <c r="U488" s="80">
        <v>81753.173721494197</v>
      </c>
      <c r="V488" s="73"/>
      <c r="X488" s="30"/>
      <c r="Y488" s="54">
        <v>479</v>
      </c>
      <c r="Z488" s="70">
        <v>45185.05</v>
      </c>
      <c r="AA488" s="75">
        <v>13165</v>
      </c>
      <c r="AB488" s="75">
        <v>7276.59</v>
      </c>
      <c r="AC488" s="75">
        <v>73574.41</v>
      </c>
      <c r="AD488" s="194">
        <v>324448.25</v>
      </c>
      <c r="AE488" s="194">
        <v>7042.55</v>
      </c>
      <c r="AF488" s="76">
        <v>0.09</v>
      </c>
      <c r="AG488" s="70">
        <v>4607.7500000000009</v>
      </c>
      <c r="AH488" s="31"/>
    </row>
    <row r="489" spans="3:34" x14ac:dyDescent="0.25">
      <c r="C489" s="72"/>
      <c r="D489" s="54">
        <v>480</v>
      </c>
      <c r="E489" s="70">
        <v>44493.59</v>
      </c>
      <c r="F489" s="75">
        <v>8438</v>
      </c>
      <c r="G489" s="75">
        <v>85578</v>
      </c>
      <c r="H489" s="194">
        <v>329056</v>
      </c>
      <c r="I489" s="194">
        <v>12341.76</v>
      </c>
      <c r="J489" s="75">
        <v>81753.173721494197</v>
      </c>
      <c r="K489" s="73"/>
      <c r="M489" s="72"/>
      <c r="N489" s="54">
        <v>480</v>
      </c>
      <c r="O489" s="70">
        <v>49394.397500000021</v>
      </c>
      <c r="P489" s="75">
        <v>10209</v>
      </c>
      <c r="Q489" s="75">
        <v>83807</v>
      </c>
      <c r="R489" s="194">
        <v>327805.39750000002</v>
      </c>
      <c r="S489" s="194">
        <v>6190.35</v>
      </c>
      <c r="T489" s="70">
        <v>1250.6025000000006</v>
      </c>
      <c r="U489" s="80">
        <v>81753.173721494197</v>
      </c>
      <c r="V489" s="73"/>
      <c r="X489" s="30"/>
      <c r="Y489" s="54">
        <v>480</v>
      </c>
      <c r="Z489" s="70">
        <v>58825.449999999975</v>
      </c>
      <c r="AA489" s="75">
        <v>14709</v>
      </c>
      <c r="AB489" s="75">
        <v>5837.6500000000005</v>
      </c>
      <c r="AC489" s="75">
        <v>77557.350000000006</v>
      </c>
      <c r="AD489" s="194">
        <v>338215.85</v>
      </c>
      <c r="AE489" s="194">
        <v>7169.75</v>
      </c>
      <c r="AF489" s="76">
        <v>7.0000000000000007E-2</v>
      </c>
      <c r="AG489" s="70">
        <v>5148.1500000000015</v>
      </c>
      <c r="AH489" s="31"/>
    </row>
    <row r="490" spans="3:34" x14ac:dyDescent="0.25">
      <c r="C490" s="72"/>
      <c r="D490" s="54">
        <v>481</v>
      </c>
      <c r="E490" s="70">
        <v>30635.27</v>
      </c>
      <c r="F490" s="75">
        <v>4538</v>
      </c>
      <c r="G490" s="75">
        <v>85390</v>
      </c>
      <c r="H490" s="194">
        <v>314748</v>
      </c>
      <c r="I490" s="194">
        <v>11892.08</v>
      </c>
      <c r="J490" s="75">
        <v>81753.173721494197</v>
      </c>
      <c r="K490" s="73"/>
      <c r="M490" s="72"/>
      <c r="N490" s="54">
        <v>481</v>
      </c>
      <c r="O490" s="70">
        <v>63447.537500000013</v>
      </c>
      <c r="P490" s="75">
        <v>10905</v>
      </c>
      <c r="Q490" s="75">
        <v>87199</v>
      </c>
      <c r="R490" s="194">
        <v>342028.13750000001</v>
      </c>
      <c r="S490" s="194">
        <v>6359.95</v>
      </c>
      <c r="T490" s="70">
        <v>1335.8625000000006</v>
      </c>
      <c r="U490" s="80">
        <v>81753.173721494197</v>
      </c>
      <c r="V490" s="73"/>
      <c r="X490" s="30"/>
      <c r="Y490" s="54">
        <v>481</v>
      </c>
      <c r="Z490" s="70">
        <v>60244.15</v>
      </c>
      <c r="AA490" s="75">
        <v>9980</v>
      </c>
      <c r="AB490" s="75">
        <v>4406.2</v>
      </c>
      <c r="AC490" s="75">
        <v>83717.8</v>
      </c>
      <c r="AD490" s="194">
        <v>339871</v>
      </c>
      <c r="AE490" s="194">
        <v>7406.2</v>
      </c>
      <c r="AF490" s="76">
        <v>0.05</v>
      </c>
      <c r="AG490" s="70">
        <v>3493.0000000000009</v>
      </c>
      <c r="AH490" s="31"/>
    </row>
    <row r="491" spans="3:34" x14ac:dyDescent="0.25">
      <c r="C491" s="72"/>
      <c r="D491" s="54">
        <v>482</v>
      </c>
      <c r="E491" s="70">
        <v>44493.59</v>
      </c>
      <c r="F491" s="75">
        <v>9386</v>
      </c>
      <c r="G491" s="75">
        <v>84630</v>
      </c>
      <c r="H491" s="194">
        <v>329056</v>
      </c>
      <c r="I491" s="194">
        <v>12341.76</v>
      </c>
      <c r="J491" s="75">
        <v>81753.173721494197</v>
      </c>
      <c r="K491" s="73"/>
      <c r="M491" s="72"/>
      <c r="N491" s="54">
        <v>482</v>
      </c>
      <c r="O491" s="70">
        <v>63307.612500000025</v>
      </c>
      <c r="P491" s="75">
        <v>12835</v>
      </c>
      <c r="Q491" s="75">
        <v>85269</v>
      </c>
      <c r="R491" s="194">
        <v>341791.71250000002</v>
      </c>
      <c r="S491" s="194">
        <v>6263.45</v>
      </c>
      <c r="T491" s="70">
        <v>1572.2875000000006</v>
      </c>
      <c r="U491" s="80">
        <v>81753.173721494197</v>
      </c>
      <c r="V491" s="73"/>
      <c r="X491" s="30"/>
      <c r="Y491" s="54">
        <v>482</v>
      </c>
      <c r="Z491" s="70">
        <v>87634.9</v>
      </c>
      <c r="AA491" s="75">
        <v>12690</v>
      </c>
      <c r="AB491" s="75">
        <v>5615.34</v>
      </c>
      <c r="AC491" s="75">
        <v>87973.66</v>
      </c>
      <c r="AD491" s="194">
        <v>367535</v>
      </c>
      <c r="AE491" s="194">
        <v>7679.45</v>
      </c>
      <c r="AF491" s="76">
        <v>0.06</v>
      </c>
      <c r="AG491" s="70">
        <v>4441.5000000000009</v>
      </c>
      <c r="AH491" s="31"/>
    </row>
    <row r="492" spans="3:34" x14ac:dyDescent="0.25">
      <c r="C492" s="72"/>
      <c r="D492" s="54">
        <v>483</v>
      </c>
      <c r="E492" s="70">
        <v>30635.27</v>
      </c>
      <c r="F492" s="75">
        <v>7372</v>
      </c>
      <c r="G492" s="75">
        <v>82556</v>
      </c>
      <c r="H492" s="194">
        <v>314748</v>
      </c>
      <c r="I492" s="194">
        <v>11892.08</v>
      </c>
      <c r="J492" s="75">
        <v>81753.173721494197</v>
      </c>
      <c r="K492" s="73"/>
      <c r="M492" s="72"/>
      <c r="N492" s="54">
        <v>483</v>
      </c>
      <c r="O492" s="70">
        <v>63172.4</v>
      </c>
      <c r="P492" s="75">
        <v>14700</v>
      </c>
      <c r="Q492" s="75">
        <v>83404</v>
      </c>
      <c r="R492" s="194">
        <v>341563.25</v>
      </c>
      <c r="S492" s="194">
        <v>6170.2</v>
      </c>
      <c r="T492" s="70">
        <v>1800.7500000000007</v>
      </c>
      <c r="U492" s="80">
        <v>81753.173721494197</v>
      </c>
      <c r="V492" s="73"/>
      <c r="X492" s="30"/>
      <c r="Y492" s="54">
        <v>483</v>
      </c>
      <c r="Z492" s="70">
        <v>44887.44999999999</v>
      </c>
      <c r="AA492" s="75">
        <v>14157</v>
      </c>
      <c r="AB492" s="75">
        <v>3992.9500000000003</v>
      </c>
      <c r="AC492" s="75">
        <v>75866.05</v>
      </c>
      <c r="AD492" s="194">
        <v>324101.05</v>
      </c>
      <c r="AE492" s="194">
        <v>6992.9500000000007</v>
      </c>
      <c r="AF492" s="76">
        <v>0.05</v>
      </c>
      <c r="AG492" s="70">
        <v>4954.9500000000016</v>
      </c>
      <c r="AH492" s="31"/>
    </row>
    <row r="493" spans="3:34" x14ac:dyDescent="0.25">
      <c r="C493" s="72"/>
      <c r="D493" s="54">
        <v>484</v>
      </c>
      <c r="E493" s="70">
        <v>30635.27</v>
      </c>
      <c r="F493" s="75">
        <v>4483</v>
      </c>
      <c r="G493" s="75">
        <v>85445</v>
      </c>
      <c r="H493" s="194">
        <v>314748</v>
      </c>
      <c r="I493" s="194">
        <v>11892.08</v>
      </c>
      <c r="J493" s="75">
        <v>81753.173721494197</v>
      </c>
      <c r="K493" s="73"/>
      <c r="M493" s="72"/>
      <c r="N493" s="54">
        <v>484</v>
      </c>
      <c r="O493" s="70">
        <v>49242.365000000013</v>
      </c>
      <c r="P493" s="75">
        <v>12306</v>
      </c>
      <c r="Q493" s="75">
        <v>81710</v>
      </c>
      <c r="R493" s="194">
        <v>327548.51500000001</v>
      </c>
      <c r="S493" s="194">
        <v>6085.5</v>
      </c>
      <c r="T493" s="70">
        <v>1507.4850000000006</v>
      </c>
      <c r="U493" s="80">
        <v>81753.173721494197</v>
      </c>
      <c r="V493" s="73"/>
      <c r="X493" s="30"/>
      <c r="Y493" s="54">
        <v>484</v>
      </c>
      <c r="Z493" s="70">
        <v>88274.500000000015</v>
      </c>
      <c r="AA493" s="75">
        <v>10558</v>
      </c>
      <c r="AB493" s="75">
        <v>4786.05</v>
      </c>
      <c r="AC493" s="75">
        <v>90934.95</v>
      </c>
      <c r="AD493" s="194">
        <v>368281.2</v>
      </c>
      <c r="AE493" s="194">
        <v>7786.05</v>
      </c>
      <c r="AF493" s="76">
        <v>0.05</v>
      </c>
      <c r="AG493" s="70">
        <v>3695.3000000000011</v>
      </c>
      <c r="AH493" s="31"/>
    </row>
    <row r="494" spans="3:34" x14ac:dyDescent="0.25">
      <c r="C494" s="72"/>
      <c r="D494" s="54">
        <v>485</v>
      </c>
      <c r="E494" s="70">
        <v>44493.59</v>
      </c>
      <c r="F494" s="75">
        <v>5547</v>
      </c>
      <c r="G494" s="75">
        <v>88469</v>
      </c>
      <c r="H494" s="194">
        <v>329056</v>
      </c>
      <c r="I494" s="194">
        <v>12341.76</v>
      </c>
      <c r="J494" s="75">
        <v>81753.173721494197</v>
      </c>
      <c r="K494" s="73"/>
      <c r="M494" s="72"/>
      <c r="N494" s="54">
        <v>485</v>
      </c>
      <c r="O494" s="70">
        <v>49299.784999999974</v>
      </c>
      <c r="P494" s="75">
        <v>11514</v>
      </c>
      <c r="Q494" s="75">
        <v>82502</v>
      </c>
      <c r="R494" s="194">
        <v>327645.53499999997</v>
      </c>
      <c r="S494" s="194">
        <v>6125.1</v>
      </c>
      <c r="T494" s="70">
        <v>1410.4650000000006</v>
      </c>
      <c r="U494" s="80">
        <v>81753.173721494197</v>
      </c>
      <c r="V494" s="73"/>
      <c r="X494" s="30"/>
      <c r="Y494" s="54">
        <v>485</v>
      </c>
      <c r="Z494" s="70">
        <v>87301.000000000015</v>
      </c>
      <c r="AA494" s="75">
        <v>13803</v>
      </c>
      <c r="AB494" s="75">
        <v>7398.08</v>
      </c>
      <c r="AC494" s="75">
        <v>85077.92</v>
      </c>
      <c r="AD494" s="194">
        <v>367145.45</v>
      </c>
      <c r="AE494" s="194">
        <v>7623.8</v>
      </c>
      <c r="AF494" s="76">
        <v>0.08</v>
      </c>
      <c r="AG494" s="70">
        <v>4831.0500000000011</v>
      </c>
      <c r="AH494" s="31"/>
    </row>
    <row r="495" spans="3:34" x14ac:dyDescent="0.25">
      <c r="C495" s="72"/>
      <c r="D495" s="54">
        <v>486</v>
      </c>
      <c r="E495" s="70">
        <v>44493.59</v>
      </c>
      <c r="F495" s="75">
        <v>8448</v>
      </c>
      <c r="G495" s="75">
        <v>85568</v>
      </c>
      <c r="H495" s="194">
        <v>329056</v>
      </c>
      <c r="I495" s="194">
        <v>12341.76</v>
      </c>
      <c r="J495" s="75">
        <v>81753.173721494197</v>
      </c>
      <c r="K495" s="73"/>
      <c r="M495" s="72"/>
      <c r="N495" s="54">
        <v>486</v>
      </c>
      <c r="O495" s="70">
        <v>63521.632500000022</v>
      </c>
      <c r="P495" s="75">
        <v>9883</v>
      </c>
      <c r="Q495" s="75">
        <v>88221</v>
      </c>
      <c r="R495" s="194">
        <v>342153.33250000002</v>
      </c>
      <c r="S495" s="194">
        <v>6411.05</v>
      </c>
      <c r="T495" s="70">
        <v>1210.6675000000005</v>
      </c>
      <c r="U495" s="80">
        <v>81753.173721494197</v>
      </c>
      <c r="V495" s="73"/>
      <c r="X495" s="30"/>
      <c r="Y495" s="54">
        <v>486</v>
      </c>
      <c r="Z495" s="70">
        <v>45175.750000000022</v>
      </c>
      <c r="AA495" s="75">
        <v>13196</v>
      </c>
      <c r="AB495" s="75">
        <v>4041</v>
      </c>
      <c r="AC495" s="75">
        <v>76779</v>
      </c>
      <c r="AD495" s="194">
        <v>324437.40000000002</v>
      </c>
      <c r="AE495" s="194">
        <v>7041</v>
      </c>
      <c r="AF495" s="76">
        <v>0.05</v>
      </c>
      <c r="AG495" s="70">
        <v>4618.6000000000013</v>
      </c>
      <c r="AH495" s="31"/>
    </row>
    <row r="496" spans="3:34" x14ac:dyDescent="0.25">
      <c r="C496" s="72"/>
      <c r="D496" s="54">
        <v>487</v>
      </c>
      <c r="E496" s="70">
        <v>58351.91</v>
      </c>
      <c r="F496" s="75">
        <v>8881</v>
      </c>
      <c r="G496" s="75">
        <v>89223</v>
      </c>
      <c r="H496" s="194">
        <v>343364</v>
      </c>
      <c r="I496" s="194">
        <v>12791.44</v>
      </c>
      <c r="J496" s="75">
        <v>81753.173721494197</v>
      </c>
      <c r="K496" s="73"/>
      <c r="M496" s="72"/>
      <c r="N496" s="54">
        <v>487</v>
      </c>
      <c r="O496" s="70">
        <v>35242.222500000011</v>
      </c>
      <c r="P496" s="75">
        <v>10879</v>
      </c>
      <c r="Q496" s="75">
        <v>79049</v>
      </c>
      <c r="R496" s="194">
        <v>313415.32250000001</v>
      </c>
      <c r="S496" s="194">
        <v>5952.4500000000007</v>
      </c>
      <c r="T496" s="70">
        <v>1332.6775000000007</v>
      </c>
      <c r="U496" s="80">
        <v>81753.173721494197</v>
      </c>
      <c r="V496" s="73"/>
      <c r="X496" s="30"/>
      <c r="Y496" s="54">
        <v>487</v>
      </c>
      <c r="Z496" s="70">
        <v>45169.750000000022</v>
      </c>
      <c r="AA496" s="75">
        <v>13216</v>
      </c>
      <c r="AB496" s="75">
        <v>8080</v>
      </c>
      <c r="AC496" s="75">
        <v>72720</v>
      </c>
      <c r="AD496" s="194">
        <v>324430.40000000002</v>
      </c>
      <c r="AE496" s="194">
        <v>7040</v>
      </c>
      <c r="AF496" s="76">
        <v>0.1</v>
      </c>
      <c r="AG496" s="70">
        <v>4625.6000000000013</v>
      </c>
      <c r="AH496" s="31"/>
    </row>
    <row r="497" spans="3:34" x14ac:dyDescent="0.25">
      <c r="C497" s="72"/>
      <c r="D497" s="54">
        <v>488</v>
      </c>
      <c r="E497" s="70">
        <v>44493.59</v>
      </c>
      <c r="F497" s="75">
        <v>4751</v>
      </c>
      <c r="G497" s="75">
        <v>89265</v>
      </c>
      <c r="H497" s="194">
        <v>329056</v>
      </c>
      <c r="I497" s="194">
        <v>12341.76</v>
      </c>
      <c r="J497" s="75">
        <v>81753.173721494197</v>
      </c>
      <c r="K497" s="73"/>
      <c r="M497" s="72"/>
      <c r="N497" s="54">
        <v>488</v>
      </c>
      <c r="O497" s="70">
        <v>63454.497500000019</v>
      </c>
      <c r="P497" s="75">
        <v>10809</v>
      </c>
      <c r="Q497" s="75">
        <v>87295</v>
      </c>
      <c r="R497" s="194">
        <v>342039.89750000002</v>
      </c>
      <c r="S497" s="194">
        <v>6364.75</v>
      </c>
      <c r="T497" s="70">
        <v>1324.1025000000006</v>
      </c>
      <c r="U497" s="80">
        <v>81753.173721494197</v>
      </c>
      <c r="V497" s="73"/>
      <c r="X497" s="30"/>
      <c r="Y497" s="54">
        <v>488</v>
      </c>
      <c r="Z497" s="70">
        <v>86674.299999999988</v>
      </c>
      <c r="AA497" s="75">
        <v>15892</v>
      </c>
      <c r="AB497" s="75">
        <v>6327.0900000000011</v>
      </c>
      <c r="AC497" s="75">
        <v>84059.91</v>
      </c>
      <c r="AD497" s="194">
        <v>366414.3</v>
      </c>
      <c r="AE497" s="194">
        <v>7519.35</v>
      </c>
      <c r="AF497" s="76">
        <v>7.0000000000000007E-2</v>
      </c>
      <c r="AG497" s="70">
        <v>5562.2000000000016</v>
      </c>
      <c r="AH497" s="31"/>
    </row>
    <row r="498" spans="3:34" x14ac:dyDescent="0.25">
      <c r="C498" s="72"/>
      <c r="D498" s="54">
        <v>489</v>
      </c>
      <c r="E498" s="70">
        <v>86065.16</v>
      </c>
      <c r="F498" s="75">
        <v>8587</v>
      </c>
      <c r="G498" s="75">
        <v>97692</v>
      </c>
      <c r="H498" s="194">
        <v>371976.5</v>
      </c>
      <c r="I498" s="194">
        <v>13690.69</v>
      </c>
      <c r="J498" s="75">
        <v>81753.173721494197</v>
      </c>
      <c r="K498" s="73"/>
      <c r="M498" s="72"/>
      <c r="N498" s="54">
        <v>489</v>
      </c>
      <c r="O498" s="70">
        <v>63374.820000000022</v>
      </c>
      <c r="P498" s="75">
        <v>11908</v>
      </c>
      <c r="Q498" s="75">
        <v>86196</v>
      </c>
      <c r="R498" s="194">
        <v>341905.27</v>
      </c>
      <c r="S498" s="194">
        <v>6309.8</v>
      </c>
      <c r="T498" s="70">
        <v>1458.7300000000007</v>
      </c>
      <c r="U498" s="80">
        <v>81753.173721494197</v>
      </c>
      <c r="V498" s="73"/>
      <c r="X498" s="30"/>
      <c r="Y498" s="54">
        <v>489</v>
      </c>
      <c r="Z498" s="70">
        <v>59472.549999999988</v>
      </c>
      <c r="AA498" s="75">
        <v>12552</v>
      </c>
      <c r="AB498" s="75">
        <v>6844.16</v>
      </c>
      <c r="AC498" s="75">
        <v>78707.839999999997</v>
      </c>
      <c r="AD498" s="194">
        <v>338970.8</v>
      </c>
      <c r="AE498" s="194">
        <v>7277.6</v>
      </c>
      <c r="AF498" s="76">
        <v>0.08</v>
      </c>
      <c r="AG498" s="70">
        <v>4393.2000000000007</v>
      </c>
      <c r="AH498" s="31"/>
    </row>
    <row r="499" spans="3:34" x14ac:dyDescent="0.25">
      <c r="C499" s="72"/>
      <c r="D499" s="54">
        <v>490</v>
      </c>
      <c r="E499" s="70">
        <v>86065.16</v>
      </c>
      <c r="F499" s="75">
        <v>9695</v>
      </c>
      <c r="G499" s="75">
        <v>96584</v>
      </c>
      <c r="H499" s="194">
        <v>371976.5</v>
      </c>
      <c r="I499" s="194">
        <v>13690.69</v>
      </c>
      <c r="J499" s="75">
        <v>81753.173721494197</v>
      </c>
      <c r="K499" s="73"/>
      <c r="M499" s="72"/>
      <c r="N499" s="54">
        <v>490</v>
      </c>
      <c r="O499" s="70">
        <v>35189.080000000031</v>
      </c>
      <c r="P499" s="75">
        <v>11612</v>
      </c>
      <c r="Q499" s="75">
        <v>78316</v>
      </c>
      <c r="R499" s="194">
        <v>313325.53000000003</v>
      </c>
      <c r="S499" s="194">
        <v>5915.8</v>
      </c>
      <c r="T499" s="70">
        <v>1422.4700000000007</v>
      </c>
      <c r="U499" s="80">
        <v>81753.173721494197</v>
      </c>
      <c r="V499" s="73"/>
      <c r="X499" s="30"/>
      <c r="Y499" s="54">
        <v>490</v>
      </c>
      <c r="Z499" s="70">
        <v>46050.849999999977</v>
      </c>
      <c r="AA499" s="75">
        <v>10279</v>
      </c>
      <c r="AB499" s="75">
        <v>8373.7000000000007</v>
      </c>
      <c r="AC499" s="75">
        <v>75363.3</v>
      </c>
      <c r="AD499" s="194">
        <v>325458.34999999998</v>
      </c>
      <c r="AE499" s="194">
        <v>7186.85</v>
      </c>
      <c r="AF499" s="76">
        <v>0.1</v>
      </c>
      <c r="AG499" s="70">
        <v>3597.650000000001</v>
      </c>
      <c r="AH499" s="31"/>
    </row>
    <row r="500" spans="3:34" x14ac:dyDescent="0.25">
      <c r="C500" s="72"/>
      <c r="D500" s="54">
        <v>491</v>
      </c>
      <c r="E500" s="70">
        <v>44493.59</v>
      </c>
      <c r="F500" s="75">
        <v>6544</v>
      </c>
      <c r="G500" s="75">
        <v>87472</v>
      </c>
      <c r="H500" s="194">
        <v>329056</v>
      </c>
      <c r="I500" s="194">
        <v>12341.76</v>
      </c>
      <c r="J500" s="75">
        <v>81753.173721494197</v>
      </c>
      <c r="K500" s="73"/>
      <c r="M500" s="72"/>
      <c r="N500" s="54">
        <v>491</v>
      </c>
      <c r="O500" s="70">
        <v>63454.787500000013</v>
      </c>
      <c r="P500" s="75">
        <v>10805</v>
      </c>
      <c r="Q500" s="75">
        <v>87299</v>
      </c>
      <c r="R500" s="194">
        <v>342040.38750000001</v>
      </c>
      <c r="S500" s="194">
        <v>6364.95</v>
      </c>
      <c r="T500" s="70">
        <v>1323.6125000000006</v>
      </c>
      <c r="U500" s="80">
        <v>81753.173721494197</v>
      </c>
      <c r="V500" s="73"/>
      <c r="X500" s="30"/>
      <c r="Y500" s="54">
        <v>491</v>
      </c>
      <c r="Z500" s="70">
        <v>45516.55</v>
      </c>
      <c r="AA500" s="75">
        <v>12060</v>
      </c>
      <c r="AB500" s="75">
        <v>4097.8</v>
      </c>
      <c r="AC500" s="75">
        <v>77858.2</v>
      </c>
      <c r="AD500" s="194">
        <v>324835</v>
      </c>
      <c r="AE500" s="194">
        <v>7097.8</v>
      </c>
      <c r="AF500" s="76">
        <v>0.05</v>
      </c>
      <c r="AG500" s="70">
        <v>4221.0000000000009</v>
      </c>
      <c r="AH500" s="31"/>
    </row>
    <row r="501" spans="3:34" x14ac:dyDescent="0.25">
      <c r="C501" s="72"/>
      <c r="D501" s="54">
        <v>492</v>
      </c>
      <c r="E501" s="70">
        <v>44493.59</v>
      </c>
      <c r="F501" s="75">
        <v>6392</v>
      </c>
      <c r="G501" s="75">
        <v>87624</v>
      </c>
      <c r="H501" s="194">
        <v>329056</v>
      </c>
      <c r="I501" s="194">
        <v>12341.76</v>
      </c>
      <c r="J501" s="75">
        <v>81753.173721494197</v>
      </c>
      <c r="K501" s="73"/>
      <c r="M501" s="72"/>
      <c r="N501" s="54">
        <v>492</v>
      </c>
      <c r="O501" s="70">
        <v>63525.185000000019</v>
      </c>
      <c r="P501" s="75">
        <v>9834</v>
      </c>
      <c r="Q501" s="75">
        <v>88270</v>
      </c>
      <c r="R501" s="194">
        <v>342159.33500000002</v>
      </c>
      <c r="S501" s="194">
        <v>6413.5</v>
      </c>
      <c r="T501" s="70">
        <v>1204.6650000000004</v>
      </c>
      <c r="U501" s="80">
        <v>81753.173721494197</v>
      </c>
      <c r="V501" s="73"/>
      <c r="X501" s="30"/>
      <c r="Y501" s="54">
        <v>492</v>
      </c>
      <c r="Z501" s="70">
        <v>45445.44999999999</v>
      </c>
      <c r="AA501" s="75">
        <v>12297</v>
      </c>
      <c r="AB501" s="75">
        <v>5720.3300000000008</v>
      </c>
      <c r="AC501" s="75">
        <v>75998.67</v>
      </c>
      <c r="AD501" s="194">
        <v>324752.05</v>
      </c>
      <c r="AE501" s="194">
        <v>7085.9500000000007</v>
      </c>
      <c r="AF501" s="76">
        <v>7.0000000000000007E-2</v>
      </c>
      <c r="AG501" s="70">
        <v>4303.9500000000007</v>
      </c>
      <c r="AH501" s="31"/>
    </row>
    <row r="502" spans="3:34" x14ac:dyDescent="0.25">
      <c r="C502" s="72"/>
      <c r="D502" s="54">
        <v>493</v>
      </c>
      <c r="E502" s="70">
        <v>44493.59</v>
      </c>
      <c r="F502" s="75">
        <v>7530</v>
      </c>
      <c r="G502" s="75">
        <v>86486</v>
      </c>
      <c r="H502" s="194">
        <v>329056</v>
      </c>
      <c r="I502" s="194">
        <v>12341.76</v>
      </c>
      <c r="J502" s="75">
        <v>81753.173721494197</v>
      </c>
      <c r="K502" s="73"/>
      <c r="M502" s="72"/>
      <c r="N502" s="54">
        <v>493</v>
      </c>
      <c r="O502" s="70">
        <v>49458.994999999981</v>
      </c>
      <c r="P502" s="75">
        <v>9318</v>
      </c>
      <c r="Q502" s="75">
        <v>84698</v>
      </c>
      <c r="R502" s="194">
        <v>327914.54499999998</v>
      </c>
      <c r="S502" s="194">
        <v>6234.9000000000005</v>
      </c>
      <c r="T502" s="70">
        <v>1141.4550000000006</v>
      </c>
      <c r="U502" s="80">
        <v>81753.173721494197</v>
      </c>
      <c r="V502" s="73"/>
      <c r="X502" s="30"/>
      <c r="Y502" s="54">
        <v>493</v>
      </c>
      <c r="Z502" s="70">
        <v>46335.55</v>
      </c>
      <c r="AA502" s="75">
        <v>9330</v>
      </c>
      <c r="AB502" s="75">
        <v>6774.88</v>
      </c>
      <c r="AC502" s="75">
        <v>77911.12</v>
      </c>
      <c r="AD502" s="194">
        <v>325790.5</v>
      </c>
      <c r="AE502" s="194">
        <v>7234.3</v>
      </c>
      <c r="AF502" s="76">
        <v>0.08</v>
      </c>
      <c r="AG502" s="70">
        <v>3265.5000000000009</v>
      </c>
      <c r="AH502" s="31"/>
    </row>
    <row r="503" spans="3:34" x14ac:dyDescent="0.25">
      <c r="C503" s="72"/>
      <c r="D503" s="54">
        <v>494</v>
      </c>
      <c r="E503" s="70">
        <v>30635.27</v>
      </c>
      <c r="F503" s="75">
        <v>5496</v>
      </c>
      <c r="G503" s="75">
        <v>84432</v>
      </c>
      <c r="H503" s="194">
        <v>314748</v>
      </c>
      <c r="I503" s="194">
        <v>11892.08</v>
      </c>
      <c r="J503" s="75">
        <v>81753.173721494197</v>
      </c>
      <c r="K503" s="73"/>
      <c r="M503" s="72"/>
      <c r="N503" s="54">
        <v>494</v>
      </c>
      <c r="O503" s="70">
        <v>63312.469999999987</v>
      </c>
      <c r="P503" s="75">
        <v>12768</v>
      </c>
      <c r="Q503" s="75">
        <v>85336</v>
      </c>
      <c r="R503" s="194">
        <v>341799.92</v>
      </c>
      <c r="S503" s="194">
        <v>6266.8</v>
      </c>
      <c r="T503" s="70">
        <v>1564.0800000000006</v>
      </c>
      <c r="U503" s="80">
        <v>81753.173721494197</v>
      </c>
      <c r="V503" s="73"/>
      <c r="X503" s="30"/>
      <c r="Y503" s="54">
        <v>494</v>
      </c>
      <c r="Z503" s="70">
        <v>45959.650000000009</v>
      </c>
      <c r="AA503" s="75">
        <v>10583</v>
      </c>
      <c r="AB503" s="75">
        <v>8343.3000000000011</v>
      </c>
      <c r="AC503" s="75">
        <v>75089.7</v>
      </c>
      <c r="AD503" s="194">
        <v>325351.95</v>
      </c>
      <c r="AE503" s="194">
        <v>7171.6500000000005</v>
      </c>
      <c r="AF503" s="76">
        <v>0.1</v>
      </c>
      <c r="AG503" s="70">
        <v>3704.0500000000011</v>
      </c>
      <c r="AH503" s="31"/>
    </row>
    <row r="504" spans="3:34" x14ac:dyDescent="0.25">
      <c r="C504" s="72"/>
      <c r="D504" s="54">
        <v>495</v>
      </c>
      <c r="E504" s="70">
        <v>58351.91</v>
      </c>
      <c r="F504" s="75">
        <v>7894</v>
      </c>
      <c r="G504" s="75">
        <v>90210</v>
      </c>
      <c r="H504" s="194">
        <v>343364</v>
      </c>
      <c r="I504" s="194">
        <v>12791.44</v>
      </c>
      <c r="J504" s="75">
        <v>81753.173721494197</v>
      </c>
      <c r="K504" s="73"/>
      <c r="M504" s="72"/>
      <c r="N504" s="54">
        <v>495</v>
      </c>
      <c r="O504" s="70">
        <v>49384.609999999986</v>
      </c>
      <c r="P504" s="75">
        <v>10344</v>
      </c>
      <c r="Q504" s="75">
        <v>83672</v>
      </c>
      <c r="R504" s="194">
        <v>327788.86</v>
      </c>
      <c r="S504" s="194">
        <v>6183.6</v>
      </c>
      <c r="T504" s="70">
        <v>1267.1400000000006</v>
      </c>
      <c r="U504" s="80">
        <v>81753.173721494197</v>
      </c>
      <c r="V504" s="73"/>
      <c r="X504" s="30"/>
      <c r="Y504" s="54">
        <v>495</v>
      </c>
      <c r="Z504" s="70">
        <v>32087.349999999988</v>
      </c>
      <c r="AA504" s="75">
        <v>9812</v>
      </c>
      <c r="AB504" s="75">
        <v>4005.8</v>
      </c>
      <c r="AC504" s="75">
        <v>76110.2</v>
      </c>
      <c r="AD504" s="194">
        <v>311313.8</v>
      </c>
      <c r="AE504" s="194">
        <v>7005.8</v>
      </c>
      <c r="AF504" s="76">
        <v>0.05</v>
      </c>
      <c r="AG504" s="70">
        <v>3434.2000000000007</v>
      </c>
      <c r="AH504" s="31"/>
    </row>
    <row r="505" spans="3:34" x14ac:dyDescent="0.25">
      <c r="C505" s="72"/>
      <c r="D505" s="54">
        <v>496</v>
      </c>
      <c r="E505" s="70">
        <v>86065.16</v>
      </c>
      <c r="F505" s="75">
        <v>7525</v>
      </c>
      <c r="G505" s="75">
        <v>98754</v>
      </c>
      <c r="H505" s="194">
        <v>371976.5</v>
      </c>
      <c r="I505" s="194">
        <v>13690.69</v>
      </c>
      <c r="J505" s="75">
        <v>81753.173721494197</v>
      </c>
      <c r="K505" s="73"/>
      <c r="M505" s="72"/>
      <c r="N505" s="54">
        <v>496</v>
      </c>
      <c r="O505" s="70">
        <v>49118.534999999974</v>
      </c>
      <c r="P505" s="75">
        <v>14014</v>
      </c>
      <c r="Q505" s="75">
        <v>80002</v>
      </c>
      <c r="R505" s="194">
        <v>327339.28499999997</v>
      </c>
      <c r="S505" s="194">
        <v>6000.1</v>
      </c>
      <c r="T505" s="70">
        <v>1716.7150000000008</v>
      </c>
      <c r="U505" s="80">
        <v>81753.173721494197</v>
      </c>
      <c r="V505" s="73"/>
      <c r="X505" s="30"/>
      <c r="Y505" s="54">
        <v>496</v>
      </c>
      <c r="Z505" s="70">
        <v>46008.849999999977</v>
      </c>
      <c r="AA505" s="75">
        <v>10419</v>
      </c>
      <c r="AB505" s="75">
        <v>8359.7000000000007</v>
      </c>
      <c r="AC505" s="75">
        <v>75237.3</v>
      </c>
      <c r="AD505" s="194">
        <v>325409.34999999998</v>
      </c>
      <c r="AE505" s="194">
        <v>7179.85</v>
      </c>
      <c r="AF505" s="76">
        <v>0.1</v>
      </c>
      <c r="AG505" s="70">
        <v>3646.650000000001</v>
      </c>
      <c r="AH505" s="31"/>
    </row>
    <row r="506" spans="3:34" x14ac:dyDescent="0.25">
      <c r="C506" s="72"/>
      <c r="D506" s="54">
        <v>497</v>
      </c>
      <c r="E506" s="70">
        <v>44493.59</v>
      </c>
      <c r="F506" s="75">
        <v>8380</v>
      </c>
      <c r="G506" s="75">
        <v>85636</v>
      </c>
      <c r="H506" s="194">
        <v>329056</v>
      </c>
      <c r="I506" s="194">
        <v>12341.76</v>
      </c>
      <c r="J506" s="75">
        <v>81753.173721494197</v>
      </c>
      <c r="K506" s="73"/>
      <c r="M506" s="72"/>
      <c r="N506" s="54">
        <v>497</v>
      </c>
      <c r="O506" s="70">
        <v>91676.735000000015</v>
      </c>
      <c r="P506" s="75">
        <v>10554</v>
      </c>
      <c r="Q506" s="75">
        <v>95725</v>
      </c>
      <c r="R506" s="194">
        <v>370683.63500000001</v>
      </c>
      <c r="S506" s="194">
        <v>6786.25</v>
      </c>
      <c r="T506" s="70">
        <v>1292.8650000000005</v>
      </c>
      <c r="U506" s="80">
        <v>81753.173721494197</v>
      </c>
      <c r="V506" s="73"/>
      <c r="X506" s="30"/>
      <c r="Y506" s="54">
        <v>497</v>
      </c>
      <c r="Z506" s="70">
        <v>59417.949999999975</v>
      </c>
      <c r="AA506" s="75">
        <v>12734</v>
      </c>
      <c r="AB506" s="75">
        <v>7683.2999999999993</v>
      </c>
      <c r="AC506" s="75">
        <v>77686.7</v>
      </c>
      <c r="AD506" s="194">
        <v>338907.1</v>
      </c>
      <c r="AE506" s="194">
        <v>7268.5</v>
      </c>
      <c r="AF506" s="76">
        <v>0.09</v>
      </c>
      <c r="AG506" s="70">
        <v>4456.9000000000015</v>
      </c>
      <c r="AH506" s="31"/>
    </row>
    <row r="507" spans="3:34" x14ac:dyDescent="0.25">
      <c r="C507" s="72"/>
      <c r="D507" s="54">
        <v>498</v>
      </c>
      <c r="E507" s="70">
        <v>30635.27</v>
      </c>
      <c r="F507" s="75">
        <v>4555</v>
      </c>
      <c r="G507" s="75">
        <v>85373</v>
      </c>
      <c r="H507" s="194">
        <v>314748</v>
      </c>
      <c r="I507" s="194">
        <v>11892.08</v>
      </c>
      <c r="J507" s="75">
        <v>81753.173721494197</v>
      </c>
      <c r="K507" s="73"/>
      <c r="M507" s="72"/>
      <c r="N507" s="54">
        <v>498</v>
      </c>
      <c r="O507" s="70">
        <v>49391.787499999991</v>
      </c>
      <c r="P507" s="75">
        <v>10245</v>
      </c>
      <c r="Q507" s="75">
        <v>83771</v>
      </c>
      <c r="R507" s="194">
        <v>327800.98749999999</v>
      </c>
      <c r="S507" s="194">
        <v>6188.55</v>
      </c>
      <c r="T507" s="70">
        <v>1255.0125000000005</v>
      </c>
      <c r="U507" s="80">
        <v>81753.173721494197</v>
      </c>
      <c r="V507" s="73"/>
      <c r="X507" s="30"/>
      <c r="Y507" s="54">
        <v>498</v>
      </c>
      <c r="Z507" s="70">
        <v>32024.349999999988</v>
      </c>
      <c r="AA507" s="75">
        <v>10022</v>
      </c>
      <c r="AB507" s="75">
        <v>4794.3599999999997</v>
      </c>
      <c r="AC507" s="75">
        <v>75111.64</v>
      </c>
      <c r="AD507" s="194">
        <v>311240.3</v>
      </c>
      <c r="AE507" s="194">
        <v>6995.3</v>
      </c>
      <c r="AF507" s="76">
        <v>0.06</v>
      </c>
      <c r="AG507" s="70">
        <v>3507.7000000000007</v>
      </c>
      <c r="AH507" s="31"/>
    </row>
    <row r="508" spans="3:34" x14ac:dyDescent="0.25">
      <c r="C508" s="72"/>
      <c r="D508" s="54">
        <v>499</v>
      </c>
      <c r="E508" s="70">
        <v>58351.91</v>
      </c>
      <c r="F508" s="75">
        <v>7724</v>
      </c>
      <c r="G508" s="75">
        <v>90380</v>
      </c>
      <c r="H508" s="194">
        <v>343364</v>
      </c>
      <c r="I508" s="194">
        <v>12791.44</v>
      </c>
      <c r="J508" s="75">
        <v>81753.173721494197</v>
      </c>
      <c r="K508" s="73"/>
      <c r="M508" s="72"/>
      <c r="N508" s="54">
        <v>499</v>
      </c>
      <c r="O508" s="70">
        <v>91448.794999999998</v>
      </c>
      <c r="P508" s="75">
        <v>13698</v>
      </c>
      <c r="Q508" s="75">
        <v>92581</v>
      </c>
      <c r="R508" s="194">
        <v>370298.495</v>
      </c>
      <c r="S508" s="194">
        <v>6629.05</v>
      </c>
      <c r="T508" s="70">
        <v>1678.0050000000008</v>
      </c>
      <c r="U508" s="80">
        <v>81753.173721494197</v>
      </c>
      <c r="V508" s="73"/>
      <c r="X508" s="30"/>
      <c r="Y508" s="54">
        <v>499</v>
      </c>
      <c r="Z508" s="70">
        <v>45485.94999999999</v>
      </c>
      <c r="AA508" s="75">
        <v>12162</v>
      </c>
      <c r="AB508" s="75">
        <v>6548.32</v>
      </c>
      <c r="AC508" s="75">
        <v>75305.679999999993</v>
      </c>
      <c r="AD508" s="194">
        <v>324799.3</v>
      </c>
      <c r="AE508" s="194">
        <v>7092.7000000000007</v>
      </c>
      <c r="AF508" s="76">
        <v>0.08</v>
      </c>
      <c r="AG508" s="70">
        <v>4256.7000000000007</v>
      </c>
      <c r="AH508" s="31"/>
    </row>
    <row r="509" spans="3:34" x14ac:dyDescent="0.25">
      <c r="C509" s="72"/>
      <c r="D509" s="54">
        <v>500</v>
      </c>
      <c r="E509" s="70">
        <v>58351.91</v>
      </c>
      <c r="F509" s="75">
        <v>6684</v>
      </c>
      <c r="G509" s="75">
        <v>91420</v>
      </c>
      <c r="H509" s="194">
        <v>343364</v>
      </c>
      <c r="I509" s="194">
        <v>12791.44</v>
      </c>
      <c r="J509" s="75">
        <v>81753.173721494197</v>
      </c>
      <c r="K509" s="73"/>
      <c r="M509" s="72"/>
      <c r="N509" s="54">
        <v>500</v>
      </c>
      <c r="O509" s="70">
        <v>63446.667499999981</v>
      </c>
      <c r="P509" s="75">
        <v>10917</v>
      </c>
      <c r="Q509" s="75">
        <v>87187</v>
      </c>
      <c r="R509" s="194">
        <v>342026.66749999998</v>
      </c>
      <c r="S509" s="194">
        <v>6359.35</v>
      </c>
      <c r="T509" s="70">
        <v>1337.3325000000007</v>
      </c>
      <c r="U509" s="80">
        <v>81753.173721494197</v>
      </c>
      <c r="V509" s="73"/>
      <c r="X509" s="30"/>
      <c r="Y509" s="54">
        <v>500</v>
      </c>
      <c r="Z509" s="70">
        <v>30999.249999999978</v>
      </c>
      <c r="AA509" s="75">
        <v>13439</v>
      </c>
      <c r="AB509" s="75">
        <v>4589.34</v>
      </c>
      <c r="AC509" s="75">
        <v>71899.66</v>
      </c>
      <c r="AD509" s="194">
        <v>310044.34999999998</v>
      </c>
      <c r="AE509" s="194">
        <v>6824.4500000000007</v>
      </c>
      <c r="AF509" s="76">
        <v>0.06</v>
      </c>
      <c r="AG509" s="70">
        <v>4703.6500000000015</v>
      </c>
      <c r="AH509" s="31"/>
    </row>
    <row r="510" spans="3:34" x14ac:dyDescent="0.25">
      <c r="C510" s="72"/>
      <c r="D510" s="54">
        <v>501</v>
      </c>
      <c r="E510" s="70">
        <v>30635.27</v>
      </c>
      <c r="F510" s="75">
        <v>5408</v>
      </c>
      <c r="G510" s="75">
        <v>84520</v>
      </c>
      <c r="H510" s="194">
        <v>314748</v>
      </c>
      <c r="I510" s="194">
        <v>11892.08</v>
      </c>
      <c r="J510" s="75">
        <v>81753.173721494197</v>
      </c>
      <c r="K510" s="73"/>
      <c r="M510" s="72"/>
      <c r="N510" s="54">
        <v>501</v>
      </c>
      <c r="O510" s="70">
        <v>49265.202499999978</v>
      </c>
      <c r="P510" s="75">
        <v>11991</v>
      </c>
      <c r="Q510" s="75">
        <v>82025</v>
      </c>
      <c r="R510" s="194">
        <v>327587.10249999998</v>
      </c>
      <c r="S510" s="194">
        <v>6101.25</v>
      </c>
      <c r="T510" s="70">
        <v>1468.8975000000007</v>
      </c>
      <c r="U510" s="80">
        <v>81753.173721494197</v>
      </c>
      <c r="V510" s="73"/>
      <c r="X510" s="30"/>
      <c r="Y510" s="54">
        <v>501</v>
      </c>
      <c r="Z510" s="70">
        <v>45185.94999999999</v>
      </c>
      <c r="AA510" s="75">
        <v>13162</v>
      </c>
      <c r="AB510" s="75">
        <v>4042.7000000000003</v>
      </c>
      <c r="AC510" s="75">
        <v>76811.3</v>
      </c>
      <c r="AD510" s="194">
        <v>324449.3</v>
      </c>
      <c r="AE510" s="194">
        <v>7042.7000000000007</v>
      </c>
      <c r="AF510" s="76">
        <v>0.05</v>
      </c>
      <c r="AG510" s="70">
        <v>4606.7000000000007</v>
      </c>
      <c r="AH510" s="31"/>
    </row>
    <row r="511" spans="3:34" x14ac:dyDescent="0.25">
      <c r="C511" s="72"/>
      <c r="D511" s="54">
        <v>502</v>
      </c>
      <c r="E511" s="70">
        <v>44493.59</v>
      </c>
      <c r="F511" s="75">
        <v>6561</v>
      </c>
      <c r="G511" s="75">
        <v>87455</v>
      </c>
      <c r="H511" s="194">
        <v>329056</v>
      </c>
      <c r="I511" s="194">
        <v>12341.76</v>
      </c>
      <c r="J511" s="75">
        <v>81753.173721494197</v>
      </c>
      <c r="K511" s="73"/>
      <c r="M511" s="72"/>
      <c r="N511" s="54">
        <v>502</v>
      </c>
      <c r="O511" s="70">
        <v>49174.359999999986</v>
      </c>
      <c r="P511" s="75">
        <v>13244</v>
      </c>
      <c r="Q511" s="75">
        <v>80772</v>
      </c>
      <c r="R511" s="194">
        <v>327433.61</v>
      </c>
      <c r="S511" s="194">
        <v>6038.6</v>
      </c>
      <c r="T511" s="70">
        <v>1622.3900000000008</v>
      </c>
      <c r="U511" s="80">
        <v>81753.173721494197</v>
      </c>
      <c r="V511" s="73"/>
      <c r="X511" s="30"/>
      <c r="Y511" s="54">
        <v>502</v>
      </c>
      <c r="Z511" s="70">
        <v>31225.45</v>
      </c>
      <c r="AA511" s="75">
        <v>12685</v>
      </c>
      <c r="AB511" s="75">
        <v>6951.87</v>
      </c>
      <c r="AC511" s="75">
        <v>70291.13</v>
      </c>
      <c r="AD511" s="194">
        <v>310308.25</v>
      </c>
      <c r="AE511" s="194">
        <v>6862.15</v>
      </c>
      <c r="AF511" s="76">
        <v>0.09</v>
      </c>
      <c r="AG511" s="70">
        <v>4439.7500000000009</v>
      </c>
      <c r="AH511" s="31"/>
    </row>
    <row r="512" spans="3:34" x14ac:dyDescent="0.25">
      <c r="C512" s="72"/>
      <c r="D512" s="54">
        <v>503</v>
      </c>
      <c r="E512" s="70">
        <v>86065.16</v>
      </c>
      <c r="F512" s="75">
        <v>9584</v>
      </c>
      <c r="G512" s="75">
        <v>96695</v>
      </c>
      <c r="H512" s="194">
        <v>371976.5</v>
      </c>
      <c r="I512" s="194">
        <v>13690.69</v>
      </c>
      <c r="J512" s="75">
        <v>81753.173721494197</v>
      </c>
      <c r="K512" s="73"/>
      <c r="M512" s="72"/>
      <c r="N512" s="54">
        <v>503</v>
      </c>
      <c r="O512" s="70">
        <v>49384.972499999974</v>
      </c>
      <c r="P512" s="75">
        <v>10339</v>
      </c>
      <c r="Q512" s="75">
        <v>83677</v>
      </c>
      <c r="R512" s="194">
        <v>327789.47249999997</v>
      </c>
      <c r="S512" s="194">
        <v>6183.85</v>
      </c>
      <c r="T512" s="70">
        <v>1266.5275000000006</v>
      </c>
      <c r="U512" s="80">
        <v>81753.173721494197</v>
      </c>
      <c r="V512" s="73"/>
      <c r="X512" s="30"/>
      <c r="Y512" s="54">
        <v>503</v>
      </c>
      <c r="Z512" s="70">
        <v>60007.15</v>
      </c>
      <c r="AA512" s="75">
        <v>10770</v>
      </c>
      <c r="AB512" s="75">
        <v>5240.04</v>
      </c>
      <c r="AC512" s="75">
        <v>82093.960000000006</v>
      </c>
      <c r="AD512" s="194">
        <v>339594.5</v>
      </c>
      <c r="AE512" s="194">
        <v>7366.7</v>
      </c>
      <c r="AF512" s="76">
        <v>0.06</v>
      </c>
      <c r="AG512" s="70">
        <v>3769.5000000000009</v>
      </c>
      <c r="AH512" s="31"/>
    </row>
    <row r="513" spans="3:34" x14ac:dyDescent="0.25">
      <c r="C513" s="72"/>
      <c r="D513" s="54">
        <v>504</v>
      </c>
      <c r="E513" s="70">
        <v>86065.16</v>
      </c>
      <c r="F513" s="75">
        <v>7442</v>
      </c>
      <c r="G513" s="75">
        <v>98837</v>
      </c>
      <c r="H513" s="194">
        <v>371976.5</v>
      </c>
      <c r="I513" s="194">
        <v>13690.69</v>
      </c>
      <c r="J513" s="75">
        <v>81753.173721494197</v>
      </c>
      <c r="K513" s="73"/>
      <c r="M513" s="72"/>
      <c r="N513" s="54">
        <v>504</v>
      </c>
      <c r="O513" s="70">
        <v>49250.629999999983</v>
      </c>
      <c r="P513" s="75">
        <v>12192</v>
      </c>
      <c r="Q513" s="75">
        <v>81824</v>
      </c>
      <c r="R513" s="194">
        <v>327562.48</v>
      </c>
      <c r="S513" s="194">
        <v>6091.2000000000007</v>
      </c>
      <c r="T513" s="70">
        <v>1493.5200000000007</v>
      </c>
      <c r="U513" s="80">
        <v>81753.173721494197</v>
      </c>
      <c r="V513" s="73"/>
      <c r="X513" s="30"/>
      <c r="Y513" s="54">
        <v>504</v>
      </c>
      <c r="Z513" s="70">
        <v>32082.849999999988</v>
      </c>
      <c r="AA513" s="75">
        <v>9827</v>
      </c>
      <c r="AB513" s="75">
        <v>8010.1</v>
      </c>
      <c r="AC513" s="75">
        <v>72090.899999999994</v>
      </c>
      <c r="AD513" s="194">
        <v>311308.55</v>
      </c>
      <c r="AE513" s="194">
        <v>7005.05</v>
      </c>
      <c r="AF513" s="76">
        <v>0.1</v>
      </c>
      <c r="AG513" s="70">
        <v>3439.4500000000007</v>
      </c>
      <c r="AH513" s="31"/>
    </row>
    <row r="514" spans="3:34" x14ac:dyDescent="0.25">
      <c r="C514" s="72"/>
      <c r="D514" s="54">
        <v>505</v>
      </c>
      <c r="E514" s="70">
        <v>86065.16</v>
      </c>
      <c r="F514" s="75">
        <v>8563</v>
      </c>
      <c r="G514" s="75">
        <v>97716</v>
      </c>
      <c r="H514" s="194">
        <v>371976.5</v>
      </c>
      <c r="I514" s="194">
        <v>13690.69</v>
      </c>
      <c r="J514" s="75">
        <v>81753.173721494197</v>
      </c>
      <c r="K514" s="73"/>
      <c r="M514" s="72"/>
      <c r="N514" s="54">
        <v>505</v>
      </c>
      <c r="O514" s="70">
        <v>35200.10000000002</v>
      </c>
      <c r="P514" s="75">
        <v>11460</v>
      </c>
      <c r="Q514" s="75">
        <v>78468</v>
      </c>
      <c r="R514" s="194">
        <v>313344.15000000002</v>
      </c>
      <c r="S514" s="194">
        <v>5923.4</v>
      </c>
      <c r="T514" s="70">
        <v>1403.8500000000006</v>
      </c>
      <c r="U514" s="80">
        <v>81753.173721494197</v>
      </c>
      <c r="V514" s="73"/>
      <c r="X514" s="30"/>
      <c r="Y514" s="54">
        <v>505</v>
      </c>
      <c r="Z514" s="70">
        <v>31835.05000000001</v>
      </c>
      <c r="AA514" s="75">
        <v>10653</v>
      </c>
      <c r="AB514" s="75">
        <v>3963.75</v>
      </c>
      <c r="AC514" s="75">
        <v>75311.25</v>
      </c>
      <c r="AD514" s="194">
        <v>311019.45</v>
      </c>
      <c r="AE514" s="194">
        <v>6963.75</v>
      </c>
      <c r="AF514" s="76">
        <v>0.05</v>
      </c>
      <c r="AG514" s="70">
        <v>3728.5500000000011</v>
      </c>
      <c r="AH514" s="31"/>
    </row>
    <row r="515" spans="3:34" x14ac:dyDescent="0.25">
      <c r="C515" s="72"/>
      <c r="D515" s="54">
        <v>506</v>
      </c>
      <c r="E515" s="70">
        <v>30635.27</v>
      </c>
      <c r="F515" s="75">
        <v>8043</v>
      </c>
      <c r="G515" s="75">
        <v>81885</v>
      </c>
      <c r="H515" s="194">
        <v>314748</v>
      </c>
      <c r="I515" s="194">
        <v>11892.08</v>
      </c>
      <c r="J515" s="75">
        <v>81753.173721494197</v>
      </c>
      <c r="K515" s="73"/>
      <c r="M515" s="72"/>
      <c r="N515" s="54">
        <v>506</v>
      </c>
      <c r="O515" s="70">
        <v>49114.112500000003</v>
      </c>
      <c r="P515" s="75">
        <v>14075</v>
      </c>
      <c r="Q515" s="75">
        <v>79941</v>
      </c>
      <c r="R515" s="194">
        <v>327331.8125</v>
      </c>
      <c r="S515" s="194">
        <v>5997.05</v>
      </c>
      <c r="T515" s="70">
        <v>1724.1875000000007</v>
      </c>
      <c r="U515" s="80">
        <v>81753.173721494197</v>
      </c>
      <c r="V515" s="73"/>
      <c r="X515" s="30"/>
      <c r="Y515" s="54">
        <v>506</v>
      </c>
      <c r="Z515" s="70">
        <v>45475.150000000009</v>
      </c>
      <c r="AA515" s="75">
        <v>12198</v>
      </c>
      <c r="AB515" s="75">
        <v>6545.4400000000005</v>
      </c>
      <c r="AC515" s="75">
        <v>75272.56</v>
      </c>
      <c r="AD515" s="194">
        <v>324786.7</v>
      </c>
      <c r="AE515" s="194">
        <v>7090.9</v>
      </c>
      <c r="AF515" s="76">
        <v>0.08</v>
      </c>
      <c r="AG515" s="70">
        <v>4269.3000000000011</v>
      </c>
      <c r="AH515" s="31"/>
    </row>
    <row r="516" spans="3:34" x14ac:dyDescent="0.25">
      <c r="C516" s="72"/>
      <c r="D516" s="54">
        <v>507</v>
      </c>
      <c r="E516" s="70">
        <v>86065.16</v>
      </c>
      <c r="F516" s="75">
        <v>6402</v>
      </c>
      <c r="G516" s="75">
        <v>99877</v>
      </c>
      <c r="H516" s="194">
        <v>371976.5</v>
      </c>
      <c r="I516" s="194">
        <v>13690.69</v>
      </c>
      <c r="J516" s="75">
        <v>81753.173721494197</v>
      </c>
      <c r="K516" s="73"/>
      <c r="M516" s="72"/>
      <c r="N516" s="54">
        <v>507</v>
      </c>
      <c r="O516" s="70">
        <v>49254.544999999969</v>
      </c>
      <c r="P516" s="75">
        <v>12138</v>
      </c>
      <c r="Q516" s="75">
        <v>81878</v>
      </c>
      <c r="R516" s="194">
        <v>327569.09499999997</v>
      </c>
      <c r="S516" s="194">
        <v>6093.9</v>
      </c>
      <c r="T516" s="70">
        <v>1486.9050000000007</v>
      </c>
      <c r="U516" s="80">
        <v>81753.173721494197</v>
      </c>
      <c r="V516" s="73"/>
      <c r="X516" s="30"/>
      <c r="Y516" s="54">
        <v>507</v>
      </c>
      <c r="Z516" s="70">
        <v>46035.250000000022</v>
      </c>
      <c r="AA516" s="75">
        <v>10331</v>
      </c>
      <c r="AB516" s="75">
        <v>7531.65</v>
      </c>
      <c r="AC516" s="75">
        <v>76153.350000000006</v>
      </c>
      <c r="AD516" s="194">
        <v>325440.15000000002</v>
      </c>
      <c r="AE516" s="194">
        <v>7184.25</v>
      </c>
      <c r="AF516" s="76">
        <v>0.09</v>
      </c>
      <c r="AG516" s="70">
        <v>3615.8500000000008</v>
      </c>
      <c r="AH516" s="31"/>
    </row>
    <row r="517" spans="3:34" x14ac:dyDescent="0.25">
      <c r="C517" s="72"/>
      <c r="D517" s="54">
        <v>508</v>
      </c>
      <c r="E517" s="70">
        <v>44493.59</v>
      </c>
      <c r="F517" s="75">
        <v>4630</v>
      </c>
      <c r="G517" s="75">
        <v>89386</v>
      </c>
      <c r="H517" s="194">
        <v>329056</v>
      </c>
      <c r="I517" s="194">
        <v>12341.76</v>
      </c>
      <c r="J517" s="75">
        <v>81753.173721494197</v>
      </c>
      <c r="K517" s="73"/>
      <c r="M517" s="72"/>
      <c r="N517" s="54">
        <v>508</v>
      </c>
      <c r="O517" s="70">
        <v>63540.482499999998</v>
      </c>
      <c r="P517" s="75">
        <v>9623</v>
      </c>
      <c r="Q517" s="75">
        <v>88481</v>
      </c>
      <c r="R517" s="194">
        <v>342185.1825</v>
      </c>
      <c r="S517" s="194">
        <v>6424.05</v>
      </c>
      <c r="T517" s="70">
        <v>1178.8175000000006</v>
      </c>
      <c r="U517" s="80">
        <v>81753.173721494197</v>
      </c>
      <c r="V517" s="73"/>
      <c r="X517" s="30"/>
      <c r="Y517" s="54">
        <v>508</v>
      </c>
      <c r="Z517" s="70">
        <v>32081.349999999988</v>
      </c>
      <c r="AA517" s="75">
        <v>9832</v>
      </c>
      <c r="AB517" s="75">
        <v>7208.6399999999994</v>
      </c>
      <c r="AC517" s="75">
        <v>72887.360000000001</v>
      </c>
      <c r="AD517" s="194">
        <v>311306.8</v>
      </c>
      <c r="AE517" s="194">
        <v>7004.8</v>
      </c>
      <c r="AF517" s="76">
        <v>0.09</v>
      </c>
      <c r="AG517" s="70">
        <v>3441.2000000000007</v>
      </c>
      <c r="AH517" s="31"/>
    </row>
    <row r="518" spans="3:34" x14ac:dyDescent="0.25">
      <c r="C518" s="72"/>
      <c r="D518" s="54">
        <v>509</v>
      </c>
      <c r="E518" s="70">
        <v>86065.16</v>
      </c>
      <c r="F518" s="75">
        <v>5350</v>
      </c>
      <c r="G518" s="75">
        <v>100929</v>
      </c>
      <c r="H518" s="194">
        <v>371976.5</v>
      </c>
      <c r="I518" s="194">
        <v>13690.69</v>
      </c>
      <c r="J518" s="75">
        <v>81753.173721494197</v>
      </c>
      <c r="K518" s="73"/>
      <c r="M518" s="72"/>
      <c r="N518" s="54">
        <v>509</v>
      </c>
      <c r="O518" s="70">
        <v>35243.237499999974</v>
      </c>
      <c r="P518" s="75">
        <v>10865</v>
      </c>
      <c r="Q518" s="75">
        <v>79063</v>
      </c>
      <c r="R518" s="194">
        <v>313417.03749999998</v>
      </c>
      <c r="S518" s="194">
        <v>5953.15</v>
      </c>
      <c r="T518" s="70">
        <v>1330.9625000000005</v>
      </c>
      <c r="U518" s="80">
        <v>81753.173721494197</v>
      </c>
      <c r="V518" s="73"/>
      <c r="X518" s="30"/>
      <c r="Y518" s="54">
        <v>509</v>
      </c>
      <c r="Z518" s="70">
        <v>32355.249999999978</v>
      </c>
      <c r="AA518" s="75">
        <v>8919</v>
      </c>
      <c r="AB518" s="75">
        <v>8100.9000000000005</v>
      </c>
      <c r="AC518" s="75">
        <v>72908.100000000006</v>
      </c>
      <c r="AD518" s="194">
        <v>311626.34999999998</v>
      </c>
      <c r="AE518" s="194">
        <v>7050.4500000000007</v>
      </c>
      <c r="AF518" s="76">
        <v>0.1</v>
      </c>
      <c r="AG518" s="70">
        <v>3121.650000000001</v>
      </c>
      <c r="AH518" s="31"/>
    </row>
    <row r="519" spans="3:34" x14ac:dyDescent="0.25">
      <c r="C519" s="72"/>
      <c r="D519" s="54">
        <v>510</v>
      </c>
      <c r="E519" s="70">
        <v>44493.59</v>
      </c>
      <c r="F519" s="75">
        <v>7480</v>
      </c>
      <c r="G519" s="75">
        <v>86536</v>
      </c>
      <c r="H519" s="194">
        <v>329056</v>
      </c>
      <c r="I519" s="194">
        <v>12341.76</v>
      </c>
      <c r="J519" s="75">
        <v>81753.173721494197</v>
      </c>
      <c r="K519" s="73"/>
      <c r="M519" s="72"/>
      <c r="N519" s="54">
        <v>510</v>
      </c>
      <c r="O519" s="70">
        <v>63245.769999999975</v>
      </c>
      <c r="P519" s="75">
        <v>13688</v>
      </c>
      <c r="Q519" s="75">
        <v>84416</v>
      </c>
      <c r="R519" s="194">
        <v>341687.22</v>
      </c>
      <c r="S519" s="194">
        <v>6220.8</v>
      </c>
      <c r="T519" s="70">
        <v>1676.7800000000007</v>
      </c>
      <c r="U519" s="80">
        <v>81753.173721494197</v>
      </c>
      <c r="V519" s="73"/>
      <c r="X519" s="30"/>
      <c r="Y519" s="54">
        <v>510</v>
      </c>
      <c r="Z519" s="70">
        <v>60306.85000000002</v>
      </c>
      <c r="AA519" s="75">
        <v>9771</v>
      </c>
      <c r="AB519" s="75">
        <v>7066.64</v>
      </c>
      <c r="AC519" s="75">
        <v>81266.36</v>
      </c>
      <c r="AD519" s="194">
        <v>339944.15</v>
      </c>
      <c r="AE519" s="194">
        <v>7416.6500000000005</v>
      </c>
      <c r="AF519" s="76">
        <v>0.08</v>
      </c>
      <c r="AG519" s="70">
        <v>3419.8500000000008</v>
      </c>
      <c r="AH519" s="31"/>
    </row>
    <row r="520" spans="3:34" x14ac:dyDescent="0.25">
      <c r="C520" s="72"/>
      <c r="D520" s="54">
        <v>511</v>
      </c>
      <c r="E520" s="70">
        <v>58351.91</v>
      </c>
      <c r="F520" s="75">
        <v>8963</v>
      </c>
      <c r="G520" s="75">
        <v>89141</v>
      </c>
      <c r="H520" s="194">
        <v>343364</v>
      </c>
      <c r="I520" s="194">
        <v>12791.44</v>
      </c>
      <c r="J520" s="75">
        <v>81753.173721494197</v>
      </c>
      <c r="K520" s="73"/>
      <c r="M520" s="72"/>
      <c r="N520" s="54">
        <v>511</v>
      </c>
      <c r="O520" s="70">
        <v>63535.987500000025</v>
      </c>
      <c r="P520" s="75">
        <v>9685</v>
      </c>
      <c r="Q520" s="75">
        <v>88419</v>
      </c>
      <c r="R520" s="194">
        <v>342177.58750000002</v>
      </c>
      <c r="S520" s="194">
        <v>6420.95</v>
      </c>
      <c r="T520" s="70">
        <v>1186.4125000000006</v>
      </c>
      <c r="U520" s="80">
        <v>81753.173721494197</v>
      </c>
      <c r="V520" s="73"/>
      <c r="X520" s="30"/>
      <c r="Y520" s="54">
        <v>511</v>
      </c>
      <c r="Z520" s="70">
        <v>60277.449999999975</v>
      </c>
      <c r="AA520" s="75">
        <v>9869</v>
      </c>
      <c r="AB520" s="75">
        <v>7941.15</v>
      </c>
      <c r="AC520" s="75">
        <v>80293.850000000006</v>
      </c>
      <c r="AD520" s="194">
        <v>339909.85</v>
      </c>
      <c r="AE520" s="194">
        <v>7411.75</v>
      </c>
      <c r="AF520" s="76">
        <v>0.09</v>
      </c>
      <c r="AG520" s="70">
        <v>3454.150000000001</v>
      </c>
      <c r="AH520" s="31"/>
    </row>
    <row r="521" spans="3:34" x14ac:dyDescent="0.25">
      <c r="C521" s="72"/>
      <c r="D521" s="54">
        <v>512</v>
      </c>
      <c r="E521" s="70">
        <v>30635.27</v>
      </c>
      <c r="F521" s="75">
        <v>8106</v>
      </c>
      <c r="G521" s="75">
        <v>81822</v>
      </c>
      <c r="H521" s="194">
        <v>314748</v>
      </c>
      <c r="I521" s="194">
        <v>11892.08</v>
      </c>
      <c r="J521" s="75">
        <v>81753.173721494197</v>
      </c>
      <c r="K521" s="73"/>
      <c r="M521" s="72"/>
      <c r="N521" s="54">
        <v>512</v>
      </c>
      <c r="O521" s="70">
        <v>35243.019999999982</v>
      </c>
      <c r="P521" s="75">
        <v>10868</v>
      </c>
      <c r="Q521" s="75">
        <v>79060</v>
      </c>
      <c r="R521" s="194">
        <v>313416.67</v>
      </c>
      <c r="S521" s="194">
        <v>5953</v>
      </c>
      <c r="T521" s="70">
        <v>1331.3300000000006</v>
      </c>
      <c r="U521" s="80">
        <v>81753.173721494197</v>
      </c>
      <c r="V521" s="73"/>
      <c r="X521" s="30"/>
      <c r="Y521" s="54">
        <v>512</v>
      </c>
      <c r="Z521" s="70">
        <v>44893.150000000009</v>
      </c>
      <c r="AA521" s="75">
        <v>14138</v>
      </c>
      <c r="AB521" s="75">
        <v>5591.4600000000009</v>
      </c>
      <c r="AC521" s="75">
        <v>74286.539999999994</v>
      </c>
      <c r="AD521" s="194">
        <v>324107.7</v>
      </c>
      <c r="AE521" s="194">
        <v>6993.9</v>
      </c>
      <c r="AF521" s="76">
        <v>7.0000000000000007E-2</v>
      </c>
      <c r="AG521" s="70">
        <v>4948.3000000000011</v>
      </c>
      <c r="AH521" s="31"/>
    </row>
    <row r="522" spans="3:34" x14ac:dyDescent="0.25">
      <c r="C522" s="72"/>
      <c r="D522" s="54">
        <v>513</v>
      </c>
      <c r="E522" s="70">
        <v>44493.59</v>
      </c>
      <c r="F522" s="75">
        <v>6617</v>
      </c>
      <c r="G522" s="75">
        <v>87399</v>
      </c>
      <c r="H522" s="194">
        <v>329056</v>
      </c>
      <c r="I522" s="194">
        <v>12341.76</v>
      </c>
      <c r="J522" s="75">
        <v>81753.173721494197</v>
      </c>
      <c r="K522" s="73"/>
      <c r="M522" s="72"/>
      <c r="N522" s="54">
        <v>513</v>
      </c>
      <c r="O522" s="70">
        <v>35378.594999999994</v>
      </c>
      <c r="P522" s="75">
        <v>8998</v>
      </c>
      <c r="Q522" s="75">
        <v>80930</v>
      </c>
      <c r="R522" s="194">
        <v>313645.745</v>
      </c>
      <c r="S522" s="194">
        <v>6046.5</v>
      </c>
      <c r="T522" s="70">
        <v>1102.2550000000006</v>
      </c>
      <c r="U522" s="80">
        <v>81753.173721494197</v>
      </c>
      <c r="V522" s="73"/>
      <c r="X522" s="30"/>
      <c r="Y522" s="54">
        <v>513</v>
      </c>
      <c r="Z522" s="70">
        <v>31764.249999999978</v>
      </c>
      <c r="AA522" s="75">
        <v>10889</v>
      </c>
      <c r="AB522" s="75">
        <v>7903.9000000000005</v>
      </c>
      <c r="AC522" s="75">
        <v>71135.100000000006</v>
      </c>
      <c r="AD522" s="194">
        <v>310936.84999999998</v>
      </c>
      <c r="AE522" s="194">
        <v>6951.9500000000007</v>
      </c>
      <c r="AF522" s="76">
        <v>0.1</v>
      </c>
      <c r="AG522" s="70">
        <v>3811.150000000001</v>
      </c>
      <c r="AH522" s="31"/>
    </row>
    <row r="523" spans="3:34" x14ac:dyDescent="0.25">
      <c r="C523" s="72"/>
      <c r="D523" s="54">
        <v>514</v>
      </c>
      <c r="E523" s="70">
        <v>44493.59</v>
      </c>
      <c r="F523" s="75">
        <v>8380</v>
      </c>
      <c r="G523" s="75">
        <v>85636</v>
      </c>
      <c r="H523" s="194">
        <v>329056</v>
      </c>
      <c r="I523" s="194">
        <v>12341.76</v>
      </c>
      <c r="J523" s="75">
        <v>81753.173721494197</v>
      </c>
      <c r="K523" s="73"/>
      <c r="M523" s="72"/>
      <c r="N523" s="54">
        <v>514</v>
      </c>
      <c r="O523" s="70">
        <v>63529.897499999985</v>
      </c>
      <c r="P523" s="75">
        <v>9769</v>
      </c>
      <c r="Q523" s="75">
        <v>88335</v>
      </c>
      <c r="R523" s="194">
        <v>342167.29749999999</v>
      </c>
      <c r="S523" s="194">
        <v>6416.75</v>
      </c>
      <c r="T523" s="70">
        <v>1196.7025000000006</v>
      </c>
      <c r="U523" s="80">
        <v>81753.173721494197</v>
      </c>
      <c r="V523" s="73"/>
      <c r="X523" s="30"/>
      <c r="Y523" s="54">
        <v>514</v>
      </c>
      <c r="Z523" s="70">
        <v>59356.15</v>
      </c>
      <c r="AA523" s="75">
        <v>12940</v>
      </c>
      <c r="AB523" s="75">
        <v>5109.84</v>
      </c>
      <c r="AC523" s="75">
        <v>80054.16</v>
      </c>
      <c r="AD523" s="194">
        <v>338835</v>
      </c>
      <c r="AE523" s="194">
        <v>7258.2</v>
      </c>
      <c r="AF523" s="76">
        <v>0.06</v>
      </c>
      <c r="AG523" s="70">
        <v>4529.0000000000009</v>
      </c>
      <c r="AH523" s="31"/>
    </row>
    <row r="524" spans="3:34" x14ac:dyDescent="0.25">
      <c r="C524" s="72"/>
      <c r="D524" s="54">
        <v>515</v>
      </c>
      <c r="E524" s="70">
        <v>44493.59</v>
      </c>
      <c r="F524" s="75">
        <v>9640</v>
      </c>
      <c r="G524" s="75">
        <v>84376</v>
      </c>
      <c r="H524" s="194">
        <v>329056</v>
      </c>
      <c r="I524" s="194">
        <v>12341.76</v>
      </c>
      <c r="J524" s="75">
        <v>81753.173721494197</v>
      </c>
      <c r="K524" s="73"/>
      <c r="M524" s="72"/>
      <c r="N524" s="54">
        <v>515</v>
      </c>
      <c r="O524" s="70">
        <v>49188.642499999994</v>
      </c>
      <c r="P524" s="75">
        <v>13047</v>
      </c>
      <c r="Q524" s="75">
        <v>80969</v>
      </c>
      <c r="R524" s="194">
        <v>327457.74249999999</v>
      </c>
      <c r="S524" s="194">
        <v>6048.4500000000007</v>
      </c>
      <c r="T524" s="70">
        <v>1598.2575000000006</v>
      </c>
      <c r="U524" s="80">
        <v>81753.173721494197</v>
      </c>
      <c r="V524" s="73"/>
      <c r="X524" s="30"/>
      <c r="Y524" s="54">
        <v>515</v>
      </c>
      <c r="Z524" s="70">
        <v>31308.249999999978</v>
      </c>
      <c r="AA524" s="75">
        <v>12409</v>
      </c>
      <c r="AB524" s="75">
        <v>6976.71</v>
      </c>
      <c r="AC524" s="75">
        <v>70542.289999999994</v>
      </c>
      <c r="AD524" s="194">
        <v>310404.84999999998</v>
      </c>
      <c r="AE524" s="194">
        <v>6875.9500000000007</v>
      </c>
      <c r="AF524" s="76">
        <v>0.09</v>
      </c>
      <c r="AG524" s="70">
        <v>4343.1500000000015</v>
      </c>
      <c r="AH524" s="31"/>
    </row>
    <row r="525" spans="3:34" x14ac:dyDescent="0.25">
      <c r="C525" s="72"/>
      <c r="D525" s="54">
        <v>516</v>
      </c>
      <c r="E525" s="70">
        <v>44493.59</v>
      </c>
      <c r="F525" s="75">
        <v>5575</v>
      </c>
      <c r="G525" s="75">
        <v>88441</v>
      </c>
      <c r="H525" s="194">
        <v>329056</v>
      </c>
      <c r="I525" s="194">
        <v>12341.76</v>
      </c>
      <c r="J525" s="75">
        <v>81753.173721494197</v>
      </c>
      <c r="K525" s="73"/>
      <c r="M525" s="72"/>
      <c r="N525" s="54">
        <v>516</v>
      </c>
      <c r="O525" s="70">
        <v>49244.684999999998</v>
      </c>
      <c r="P525" s="75">
        <v>12274</v>
      </c>
      <c r="Q525" s="75">
        <v>81742</v>
      </c>
      <c r="R525" s="194">
        <v>327552.435</v>
      </c>
      <c r="S525" s="194">
        <v>6087.1</v>
      </c>
      <c r="T525" s="70">
        <v>1503.5650000000007</v>
      </c>
      <c r="U525" s="80">
        <v>81753.173721494197</v>
      </c>
      <c r="V525" s="73"/>
      <c r="X525" s="30"/>
      <c r="Y525" s="54">
        <v>516</v>
      </c>
      <c r="Z525" s="70">
        <v>46349.94999999999</v>
      </c>
      <c r="AA525" s="75">
        <v>9282</v>
      </c>
      <c r="AB525" s="75">
        <v>5084.04</v>
      </c>
      <c r="AC525" s="75">
        <v>79649.960000000006</v>
      </c>
      <c r="AD525" s="194">
        <v>325807.3</v>
      </c>
      <c r="AE525" s="194">
        <v>7236.7</v>
      </c>
      <c r="AF525" s="76">
        <v>0.06</v>
      </c>
      <c r="AG525" s="70">
        <v>3248.7000000000007</v>
      </c>
      <c r="AH525" s="31"/>
    </row>
    <row r="526" spans="3:34" x14ac:dyDescent="0.25">
      <c r="C526" s="72"/>
      <c r="D526" s="54">
        <v>517</v>
      </c>
      <c r="E526" s="70">
        <v>58351.91</v>
      </c>
      <c r="F526" s="75">
        <v>5846</v>
      </c>
      <c r="G526" s="75">
        <v>92258</v>
      </c>
      <c r="H526" s="194">
        <v>343364</v>
      </c>
      <c r="I526" s="194">
        <v>12791.44</v>
      </c>
      <c r="J526" s="75">
        <v>81753.173721494197</v>
      </c>
      <c r="K526" s="73"/>
      <c r="M526" s="72"/>
      <c r="N526" s="54">
        <v>517</v>
      </c>
      <c r="O526" s="70">
        <v>49386.930000000029</v>
      </c>
      <c r="P526" s="75">
        <v>10312</v>
      </c>
      <c r="Q526" s="75">
        <v>83704</v>
      </c>
      <c r="R526" s="194">
        <v>327792.78000000003</v>
      </c>
      <c r="S526" s="194">
        <v>6185.2</v>
      </c>
      <c r="T526" s="70">
        <v>1263.2200000000005</v>
      </c>
      <c r="U526" s="80">
        <v>81753.173721494197</v>
      </c>
      <c r="V526" s="73"/>
      <c r="X526" s="30"/>
      <c r="Y526" s="54">
        <v>517</v>
      </c>
      <c r="Z526" s="70">
        <v>45259.44999999999</v>
      </c>
      <c r="AA526" s="75">
        <v>12917</v>
      </c>
      <c r="AB526" s="75">
        <v>4865.9399999999996</v>
      </c>
      <c r="AC526" s="75">
        <v>76233.06</v>
      </c>
      <c r="AD526" s="194">
        <v>324535.05</v>
      </c>
      <c r="AE526" s="194">
        <v>7054.9500000000007</v>
      </c>
      <c r="AF526" s="76">
        <v>0.06</v>
      </c>
      <c r="AG526" s="70">
        <v>4520.9500000000007</v>
      </c>
      <c r="AH526" s="31"/>
    </row>
    <row r="527" spans="3:34" x14ac:dyDescent="0.25">
      <c r="C527" s="72"/>
      <c r="D527" s="54">
        <v>518</v>
      </c>
      <c r="E527" s="70">
        <v>58351.91</v>
      </c>
      <c r="F527" s="75">
        <v>5969</v>
      </c>
      <c r="G527" s="75">
        <v>92135</v>
      </c>
      <c r="H527" s="194">
        <v>343364</v>
      </c>
      <c r="I527" s="194">
        <v>12791.44</v>
      </c>
      <c r="J527" s="75">
        <v>81753.173721494197</v>
      </c>
      <c r="K527" s="73"/>
      <c r="M527" s="72"/>
      <c r="N527" s="54">
        <v>518</v>
      </c>
      <c r="O527" s="70">
        <v>35307.834999999999</v>
      </c>
      <c r="P527" s="75">
        <v>9974</v>
      </c>
      <c r="Q527" s="75">
        <v>79954</v>
      </c>
      <c r="R527" s="194">
        <v>313526.185</v>
      </c>
      <c r="S527" s="194">
        <v>5997.7000000000007</v>
      </c>
      <c r="T527" s="70">
        <v>1221.8150000000005</v>
      </c>
      <c r="U527" s="80">
        <v>81753.173721494197</v>
      </c>
      <c r="V527" s="73"/>
      <c r="X527" s="30"/>
      <c r="Y527" s="54">
        <v>518</v>
      </c>
      <c r="Z527" s="70">
        <v>31571.650000000023</v>
      </c>
      <c r="AA527" s="75">
        <v>11531</v>
      </c>
      <c r="AB527" s="75">
        <v>5487.7900000000009</v>
      </c>
      <c r="AC527" s="75">
        <v>72909.209999999992</v>
      </c>
      <c r="AD527" s="194">
        <v>310712.15000000002</v>
      </c>
      <c r="AE527" s="194">
        <v>6919.85</v>
      </c>
      <c r="AF527" s="76">
        <v>7.0000000000000007E-2</v>
      </c>
      <c r="AG527" s="70">
        <v>4035.8500000000008</v>
      </c>
      <c r="AH527" s="31"/>
    </row>
    <row r="528" spans="3:34" x14ac:dyDescent="0.25">
      <c r="C528" s="72"/>
      <c r="D528" s="54">
        <v>519</v>
      </c>
      <c r="E528" s="70">
        <v>58351.91</v>
      </c>
      <c r="F528" s="75">
        <v>9755</v>
      </c>
      <c r="G528" s="75">
        <v>88349</v>
      </c>
      <c r="H528" s="194">
        <v>343364</v>
      </c>
      <c r="I528" s="194">
        <v>12791.44</v>
      </c>
      <c r="J528" s="75">
        <v>81753.173721494197</v>
      </c>
      <c r="K528" s="73"/>
      <c r="M528" s="72"/>
      <c r="N528" s="54">
        <v>519</v>
      </c>
      <c r="O528" s="70">
        <v>63388.087500000001</v>
      </c>
      <c r="P528" s="75">
        <v>11725</v>
      </c>
      <c r="Q528" s="75">
        <v>86379</v>
      </c>
      <c r="R528" s="194">
        <v>341927.6875</v>
      </c>
      <c r="S528" s="194">
        <v>6318.95</v>
      </c>
      <c r="T528" s="70">
        <v>1436.3125000000007</v>
      </c>
      <c r="U528" s="80">
        <v>81753.173721494197</v>
      </c>
      <c r="V528" s="73"/>
      <c r="X528" s="30"/>
      <c r="Y528" s="54">
        <v>519</v>
      </c>
      <c r="Z528" s="70">
        <v>59468.65</v>
      </c>
      <c r="AA528" s="75">
        <v>12565</v>
      </c>
      <c r="AB528" s="75">
        <v>4276.95</v>
      </c>
      <c r="AC528" s="75">
        <v>81262.05</v>
      </c>
      <c r="AD528" s="194">
        <v>338966.25</v>
      </c>
      <c r="AE528" s="194">
        <v>7276.95</v>
      </c>
      <c r="AF528" s="76">
        <v>0.05</v>
      </c>
      <c r="AG528" s="70">
        <v>4397.7500000000009</v>
      </c>
      <c r="AH528" s="31"/>
    </row>
    <row r="529" spans="3:34" x14ac:dyDescent="0.25">
      <c r="C529" s="72"/>
      <c r="D529" s="54">
        <v>520</v>
      </c>
      <c r="E529" s="70">
        <v>44493.59</v>
      </c>
      <c r="F529" s="75">
        <v>5675</v>
      </c>
      <c r="G529" s="75">
        <v>88341</v>
      </c>
      <c r="H529" s="194">
        <v>329056</v>
      </c>
      <c r="I529" s="194">
        <v>12341.76</v>
      </c>
      <c r="J529" s="75">
        <v>81753.173721494197</v>
      </c>
      <c r="K529" s="73"/>
      <c r="M529" s="72"/>
      <c r="N529" s="54">
        <v>520</v>
      </c>
      <c r="O529" s="70">
        <v>49255.052500000013</v>
      </c>
      <c r="P529" s="75">
        <v>12131</v>
      </c>
      <c r="Q529" s="75">
        <v>81885</v>
      </c>
      <c r="R529" s="194">
        <v>327569.95250000001</v>
      </c>
      <c r="S529" s="194">
        <v>6094.25</v>
      </c>
      <c r="T529" s="70">
        <v>1486.0475000000006</v>
      </c>
      <c r="U529" s="80">
        <v>81753.173721494197</v>
      </c>
      <c r="V529" s="73"/>
      <c r="X529" s="30"/>
      <c r="Y529" s="54">
        <v>520</v>
      </c>
      <c r="Z529" s="70">
        <v>46040.05</v>
      </c>
      <c r="AA529" s="75">
        <v>10315</v>
      </c>
      <c r="AB529" s="75">
        <v>8370.1</v>
      </c>
      <c r="AC529" s="75">
        <v>75330.899999999994</v>
      </c>
      <c r="AD529" s="194">
        <v>325445.75</v>
      </c>
      <c r="AE529" s="194">
        <v>7185.05</v>
      </c>
      <c r="AF529" s="76">
        <v>0.1</v>
      </c>
      <c r="AG529" s="70">
        <v>3610.2500000000009</v>
      </c>
      <c r="AH529" s="31"/>
    </row>
    <row r="530" spans="3:34" x14ac:dyDescent="0.25">
      <c r="C530" s="72"/>
      <c r="D530" s="54">
        <v>521</v>
      </c>
      <c r="E530" s="70">
        <v>58351.91</v>
      </c>
      <c r="F530" s="75">
        <v>8702</v>
      </c>
      <c r="G530" s="75">
        <v>89402</v>
      </c>
      <c r="H530" s="194">
        <v>343364</v>
      </c>
      <c r="I530" s="194">
        <v>12791.44</v>
      </c>
      <c r="J530" s="75">
        <v>81753.173721494197</v>
      </c>
      <c r="K530" s="73"/>
      <c r="M530" s="72"/>
      <c r="N530" s="54">
        <v>521</v>
      </c>
      <c r="O530" s="70">
        <v>63322.330000000016</v>
      </c>
      <c r="P530" s="75">
        <v>12632</v>
      </c>
      <c r="Q530" s="75">
        <v>85472</v>
      </c>
      <c r="R530" s="194">
        <v>341816.58</v>
      </c>
      <c r="S530" s="194">
        <v>6273.6</v>
      </c>
      <c r="T530" s="70">
        <v>1547.4200000000008</v>
      </c>
      <c r="U530" s="80">
        <v>81753.173721494197</v>
      </c>
      <c r="V530" s="73"/>
      <c r="X530" s="30"/>
      <c r="Y530" s="54">
        <v>521</v>
      </c>
      <c r="Z530" s="70">
        <v>32370.55000000001</v>
      </c>
      <c r="AA530" s="75">
        <v>8868</v>
      </c>
      <c r="AB530" s="75">
        <v>8106</v>
      </c>
      <c r="AC530" s="75">
        <v>72954</v>
      </c>
      <c r="AD530" s="194">
        <v>311644.2</v>
      </c>
      <c r="AE530" s="194">
        <v>7053</v>
      </c>
      <c r="AF530" s="76">
        <v>0.1</v>
      </c>
      <c r="AG530" s="70">
        <v>3103.8000000000006</v>
      </c>
      <c r="AH530" s="31"/>
    </row>
    <row r="531" spans="3:34" x14ac:dyDescent="0.25">
      <c r="C531" s="72"/>
      <c r="D531" s="54">
        <v>522</v>
      </c>
      <c r="E531" s="70">
        <v>86065.16</v>
      </c>
      <c r="F531" s="75">
        <v>7477</v>
      </c>
      <c r="G531" s="75">
        <v>98802</v>
      </c>
      <c r="H531" s="194">
        <v>371976.5</v>
      </c>
      <c r="I531" s="194">
        <v>13690.69</v>
      </c>
      <c r="J531" s="75">
        <v>81753.173721494197</v>
      </c>
      <c r="K531" s="73"/>
      <c r="M531" s="72"/>
      <c r="N531" s="54">
        <v>522</v>
      </c>
      <c r="O531" s="70">
        <v>35311.025000000009</v>
      </c>
      <c r="P531" s="75">
        <v>9930</v>
      </c>
      <c r="Q531" s="75">
        <v>79998</v>
      </c>
      <c r="R531" s="194">
        <v>313531.57500000001</v>
      </c>
      <c r="S531" s="194">
        <v>5999.9</v>
      </c>
      <c r="T531" s="70">
        <v>1216.4250000000006</v>
      </c>
      <c r="U531" s="80">
        <v>81753.173721494197</v>
      </c>
      <c r="V531" s="73"/>
      <c r="X531" s="30"/>
      <c r="Y531" s="54">
        <v>522</v>
      </c>
      <c r="Z531" s="70">
        <v>59964.85000000002</v>
      </c>
      <c r="AA531" s="75">
        <v>10911</v>
      </c>
      <c r="AB531" s="75">
        <v>6975.4400000000005</v>
      </c>
      <c r="AC531" s="75">
        <v>80217.56</v>
      </c>
      <c r="AD531" s="194">
        <v>339545.15</v>
      </c>
      <c r="AE531" s="194">
        <v>7359.6500000000005</v>
      </c>
      <c r="AF531" s="76">
        <v>0.08</v>
      </c>
      <c r="AG531" s="70">
        <v>3818.8500000000008</v>
      </c>
      <c r="AH531" s="31"/>
    </row>
    <row r="532" spans="3:34" x14ac:dyDescent="0.25">
      <c r="C532" s="72"/>
      <c r="D532" s="54">
        <v>523</v>
      </c>
      <c r="E532" s="70">
        <v>30635.27</v>
      </c>
      <c r="F532" s="75">
        <v>6299</v>
      </c>
      <c r="G532" s="75">
        <v>83629</v>
      </c>
      <c r="H532" s="194">
        <v>314748</v>
      </c>
      <c r="I532" s="194">
        <v>11892.08</v>
      </c>
      <c r="J532" s="75">
        <v>81753.173721494197</v>
      </c>
      <c r="K532" s="73"/>
      <c r="M532" s="72"/>
      <c r="N532" s="54">
        <v>523</v>
      </c>
      <c r="O532" s="70">
        <v>35192.414999999979</v>
      </c>
      <c r="P532" s="75">
        <v>11566</v>
      </c>
      <c r="Q532" s="75">
        <v>78362</v>
      </c>
      <c r="R532" s="194">
        <v>313331.16499999998</v>
      </c>
      <c r="S532" s="194">
        <v>5918.1</v>
      </c>
      <c r="T532" s="70">
        <v>1416.8350000000007</v>
      </c>
      <c r="U532" s="80">
        <v>81753.173721494197</v>
      </c>
      <c r="V532" s="73"/>
      <c r="X532" s="30"/>
      <c r="Y532" s="54">
        <v>523</v>
      </c>
      <c r="Z532" s="70">
        <v>59697.250000000015</v>
      </c>
      <c r="AA532" s="75">
        <v>11803</v>
      </c>
      <c r="AB532" s="75">
        <v>5178.0599999999995</v>
      </c>
      <c r="AC532" s="75">
        <v>81122.94</v>
      </c>
      <c r="AD532" s="194">
        <v>339232.95</v>
      </c>
      <c r="AE532" s="194">
        <v>7315.05</v>
      </c>
      <c r="AF532" s="76">
        <v>0.06</v>
      </c>
      <c r="AG532" s="70">
        <v>4131.0500000000011</v>
      </c>
      <c r="AH532" s="31"/>
    </row>
    <row r="533" spans="3:34" x14ac:dyDescent="0.25">
      <c r="C533" s="72"/>
      <c r="D533" s="54">
        <v>524</v>
      </c>
      <c r="E533" s="70">
        <v>44493.59</v>
      </c>
      <c r="F533" s="75">
        <v>8499</v>
      </c>
      <c r="G533" s="75">
        <v>85517</v>
      </c>
      <c r="H533" s="194">
        <v>329056</v>
      </c>
      <c r="I533" s="194">
        <v>12341.76</v>
      </c>
      <c r="J533" s="75">
        <v>81753.173721494197</v>
      </c>
      <c r="K533" s="73"/>
      <c r="M533" s="72"/>
      <c r="N533" s="54">
        <v>524</v>
      </c>
      <c r="O533" s="70">
        <v>49118.825000000026</v>
      </c>
      <c r="P533" s="75">
        <v>14010</v>
      </c>
      <c r="Q533" s="75">
        <v>80006</v>
      </c>
      <c r="R533" s="194">
        <v>327339.77500000002</v>
      </c>
      <c r="S533" s="194">
        <v>6000.3</v>
      </c>
      <c r="T533" s="70">
        <v>1716.2250000000008</v>
      </c>
      <c r="U533" s="80">
        <v>81753.173721494197</v>
      </c>
      <c r="V533" s="73"/>
      <c r="X533" s="30"/>
      <c r="Y533" s="54">
        <v>524</v>
      </c>
      <c r="Z533" s="70">
        <v>87693.699999999983</v>
      </c>
      <c r="AA533" s="75">
        <v>12494</v>
      </c>
      <c r="AB533" s="75">
        <v>9378.5</v>
      </c>
      <c r="AC533" s="75">
        <v>84406.5</v>
      </c>
      <c r="AD533" s="194">
        <v>367603.6</v>
      </c>
      <c r="AE533" s="194">
        <v>7689.25</v>
      </c>
      <c r="AF533" s="76">
        <v>0.1</v>
      </c>
      <c r="AG533" s="70">
        <v>4372.9000000000015</v>
      </c>
      <c r="AH533" s="31"/>
    </row>
    <row r="534" spans="3:34" x14ac:dyDescent="0.25">
      <c r="C534" s="72"/>
      <c r="D534" s="54">
        <v>525</v>
      </c>
      <c r="E534" s="70">
        <v>30635.27</v>
      </c>
      <c r="F534" s="75">
        <v>9036</v>
      </c>
      <c r="G534" s="75">
        <v>80892</v>
      </c>
      <c r="H534" s="194">
        <v>314748</v>
      </c>
      <c r="I534" s="194">
        <v>11892.08</v>
      </c>
      <c r="J534" s="75">
        <v>81753.173721494197</v>
      </c>
      <c r="K534" s="73"/>
      <c r="M534" s="72"/>
      <c r="N534" s="54">
        <v>525</v>
      </c>
      <c r="O534" s="70">
        <v>91517.090000000011</v>
      </c>
      <c r="P534" s="75">
        <v>12756</v>
      </c>
      <c r="Q534" s="75">
        <v>93523</v>
      </c>
      <c r="R534" s="194">
        <v>370413.89</v>
      </c>
      <c r="S534" s="194">
        <v>6676.1500000000005</v>
      </c>
      <c r="T534" s="70">
        <v>1562.6100000000006</v>
      </c>
      <c r="U534" s="80">
        <v>81753.173721494197</v>
      </c>
      <c r="V534" s="73"/>
      <c r="X534" s="30"/>
      <c r="Y534" s="54">
        <v>525</v>
      </c>
      <c r="Z534" s="70">
        <v>31213.45</v>
      </c>
      <c r="AA534" s="75">
        <v>12725</v>
      </c>
      <c r="AB534" s="75">
        <v>6176.24</v>
      </c>
      <c r="AC534" s="75">
        <v>71026.759999999995</v>
      </c>
      <c r="AD534" s="194">
        <v>310294.25</v>
      </c>
      <c r="AE534" s="194">
        <v>6860.15</v>
      </c>
      <c r="AF534" s="76">
        <v>0.08</v>
      </c>
      <c r="AG534" s="70">
        <v>4453.7500000000009</v>
      </c>
      <c r="AH534" s="31"/>
    </row>
    <row r="535" spans="3:34" x14ac:dyDescent="0.25">
      <c r="C535" s="72"/>
      <c r="D535" s="54">
        <v>526</v>
      </c>
      <c r="E535" s="70">
        <v>44493.59</v>
      </c>
      <c r="F535" s="75">
        <v>9492</v>
      </c>
      <c r="G535" s="75">
        <v>84524</v>
      </c>
      <c r="H535" s="194">
        <v>329056</v>
      </c>
      <c r="I535" s="194">
        <v>12341.76</v>
      </c>
      <c r="J535" s="75">
        <v>81753.173721494197</v>
      </c>
      <c r="K535" s="73"/>
      <c r="M535" s="72"/>
      <c r="N535" s="54">
        <v>526</v>
      </c>
      <c r="O535" s="70">
        <v>63158.624999999978</v>
      </c>
      <c r="P535" s="75">
        <v>14890</v>
      </c>
      <c r="Q535" s="75">
        <v>83214</v>
      </c>
      <c r="R535" s="194">
        <v>341539.97499999998</v>
      </c>
      <c r="S535" s="194">
        <v>6160.7</v>
      </c>
      <c r="T535" s="70">
        <v>1824.0250000000008</v>
      </c>
      <c r="U535" s="80">
        <v>81753.173721494197</v>
      </c>
      <c r="V535" s="73"/>
      <c r="X535" s="30"/>
      <c r="Y535" s="54">
        <v>526</v>
      </c>
      <c r="Z535" s="70">
        <v>46022.650000000009</v>
      </c>
      <c r="AA535" s="75">
        <v>10373</v>
      </c>
      <c r="AB535" s="75">
        <v>4182.1500000000005</v>
      </c>
      <c r="AC535" s="75">
        <v>79460.850000000006</v>
      </c>
      <c r="AD535" s="194">
        <v>325425.45</v>
      </c>
      <c r="AE535" s="194">
        <v>7182.1500000000005</v>
      </c>
      <c r="AF535" s="76">
        <v>0.05</v>
      </c>
      <c r="AG535" s="70">
        <v>3630.5500000000011</v>
      </c>
      <c r="AH535" s="31"/>
    </row>
    <row r="536" spans="3:34" x14ac:dyDescent="0.25">
      <c r="C536" s="72"/>
      <c r="D536" s="54">
        <v>527</v>
      </c>
      <c r="E536" s="70">
        <v>44493.59</v>
      </c>
      <c r="F536" s="75">
        <v>4705</v>
      </c>
      <c r="G536" s="75">
        <v>89311</v>
      </c>
      <c r="H536" s="194">
        <v>329056</v>
      </c>
      <c r="I536" s="194">
        <v>12341.76</v>
      </c>
      <c r="J536" s="75">
        <v>81753.173721494197</v>
      </c>
      <c r="K536" s="73"/>
      <c r="M536" s="72"/>
      <c r="N536" s="54">
        <v>527</v>
      </c>
      <c r="O536" s="70">
        <v>63371.92</v>
      </c>
      <c r="P536" s="75">
        <v>11948</v>
      </c>
      <c r="Q536" s="75">
        <v>86156</v>
      </c>
      <c r="R536" s="194">
        <v>341900.37</v>
      </c>
      <c r="S536" s="194">
        <v>6307.8</v>
      </c>
      <c r="T536" s="70">
        <v>1463.6300000000006</v>
      </c>
      <c r="U536" s="80">
        <v>81753.173721494197</v>
      </c>
      <c r="V536" s="73"/>
      <c r="X536" s="30"/>
      <c r="Y536" s="54">
        <v>527</v>
      </c>
      <c r="Z536" s="70">
        <v>45196.44999999999</v>
      </c>
      <c r="AA536" s="75">
        <v>13127</v>
      </c>
      <c r="AB536" s="75">
        <v>8088.9000000000005</v>
      </c>
      <c r="AC536" s="75">
        <v>72800.100000000006</v>
      </c>
      <c r="AD536" s="194">
        <v>324461.55</v>
      </c>
      <c r="AE536" s="194">
        <v>7044.4500000000007</v>
      </c>
      <c r="AF536" s="76">
        <v>0.1</v>
      </c>
      <c r="AG536" s="70">
        <v>4594.4500000000007</v>
      </c>
      <c r="AH536" s="31"/>
    </row>
    <row r="537" spans="3:34" x14ac:dyDescent="0.25">
      <c r="C537" s="72"/>
      <c r="D537" s="54">
        <v>528</v>
      </c>
      <c r="E537" s="70">
        <v>30635.27</v>
      </c>
      <c r="F537" s="75">
        <v>7295</v>
      </c>
      <c r="G537" s="75">
        <v>82633</v>
      </c>
      <c r="H537" s="194">
        <v>314748</v>
      </c>
      <c r="I537" s="194">
        <v>11892.08</v>
      </c>
      <c r="J537" s="75">
        <v>81753.173721494197</v>
      </c>
      <c r="K537" s="73"/>
      <c r="M537" s="72"/>
      <c r="N537" s="54">
        <v>528</v>
      </c>
      <c r="O537" s="70">
        <v>49324.797499999986</v>
      </c>
      <c r="P537" s="75">
        <v>11169</v>
      </c>
      <c r="Q537" s="75">
        <v>82847</v>
      </c>
      <c r="R537" s="194">
        <v>327687.79749999999</v>
      </c>
      <c r="S537" s="194">
        <v>6142.35</v>
      </c>
      <c r="T537" s="70">
        <v>1368.2025000000006</v>
      </c>
      <c r="U537" s="80">
        <v>81753.173721494197</v>
      </c>
      <c r="V537" s="73"/>
      <c r="X537" s="30"/>
      <c r="Y537" s="54">
        <v>528</v>
      </c>
      <c r="Z537" s="70">
        <v>59433.85000000002</v>
      </c>
      <c r="AA537" s="75">
        <v>12681</v>
      </c>
      <c r="AB537" s="75">
        <v>4271.1500000000005</v>
      </c>
      <c r="AC537" s="75">
        <v>81151.850000000006</v>
      </c>
      <c r="AD537" s="194">
        <v>338925.65</v>
      </c>
      <c r="AE537" s="194">
        <v>7271.1500000000005</v>
      </c>
      <c r="AF537" s="76">
        <v>0.05</v>
      </c>
      <c r="AG537" s="70">
        <v>4438.3500000000013</v>
      </c>
      <c r="AH537" s="31"/>
    </row>
    <row r="538" spans="3:34" x14ac:dyDescent="0.25">
      <c r="C538" s="72"/>
      <c r="D538" s="54">
        <v>529</v>
      </c>
      <c r="E538" s="70">
        <v>44493.59</v>
      </c>
      <c r="F538" s="75">
        <v>4614</v>
      </c>
      <c r="G538" s="75">
        <v>89402</v>
      </c>
      <c r="H538" s="194">
        <v>329056</v>
      </c>
      <c r="I538" s="194">
        <v>12341.76</v>
      </c>
      <c r="J538" s="75">
        <v>81753.173721494197</v>
      </c>
      <c r="K538" s="73"/>
      <c r="M538" s="72"/>
      <c r="N538" s="54">
        <v>529</v>
      </c>
      <c r="O538" s="70">
        <v>91286.249999999971</v>
      </c>
      <c r="P538" s="75">
        <v>15940</v>
      </c>
      <c r="Q538" s="75">
        <v>90339</v>
      </c>
      <c r="R538" s="194">
        <v>370023.85</v>
      </c>
      <c r="S538" s="194">
        <v>6516.95</v>
      </c>
      <c r="T538" s="70">
        <v>1952.6500000000008</v>
      </c>
      <c r="U538" s="80">
        <v>81753.173721494197</v>
      </c>
      <c r="V538" s="73"/>
      <c r="X538" s="30"/>
      <c r="Y538" s="54">
        <v>529</v>
      </c>
      <c r="Z538" s="70">
        <v>45189.55</v>
      </c>
      <c r="AA538" s="75">
        <v>13150</v>
      </c>
      <c r="AB538" s="75">
        <v>8086.6</v>
      </c>
      <c r="AC538" s="75">
        <v>72779.399999999994</v>
      </c>
      <c r="AD538" s="194">
        <v>324453.5</v>
      </c>
      <c r="AE538" s="194">
        <v>7043.3</v>
      </c>
      <c r="AF538" s="76">
        <v>0.1</v>
      </c>
      <c r="AG538" s="70">
        <v>4602.5000000000009</v>
      </c>
      <c r="AH538" s="31"/>
    </row>
    <row r="539" spans="3:34" x14ac:dyDescent="0.25">
      <c r="C539" s="72"/>
      <c r="D539" s="54">
        <v>530</v>
      </c>
      <c r="E539" s="70">
        <v>44493.59</v>
      </c>
      <c r="F539" s="75">
        <v>7519</v>
      </c>
      <c r="G539" s="75">
        <v>86497</v>
      </c>
      <c r="H539" s="194">
        <v>329056</v>
      </c>
      <c r="I539" s="194">
        <v>12341.76</v>
      </c>
      <c r="J539" s="75">
        <v>81753.173721494197</v>
      </c>
      <c r="K539" s="73"/>
      <c r="M539" s="72"/>
      <c r="N539" s="54">
        <v>530</v>
      </c>
      <c r="O539" s="70">
        <v>49184.510000000009</v>
      </c>
      <c r="P539" s="75">
        <v>13104</v>
      </c>
      <c r="Q539" s="75">
        <v>80912</v>
      </c>
      <c r="R539" s="194">
        <v>327450.76</v>
      </c>
      <c r="S539" s="194">
        <v>6045.6</v>
      </c>
      <c r="T539" s="70">
        <v>1605.2400000000007</v>
      </c>
      <c r="U539" s="80">
        <v>81753.173721494197</v>
      </c>
      <c r="V539" s="73"/>
      <c r="X539" s="30"/>
      <c r="Y539" s="54">
        <v>530</v>
      </c>
      <c r="Z539" s="70">
        <v>59688.549999999988</v>
      </c>
      <c r="AA539" s="75">
        <v>11832</v>
      </c>
      <c r="AB539" s="75">
        <v>6901.76</v>
      </c>
      <c r="AC539" s="75">
        <v>79370.240000000005</v>
      </c>
      <c r="AD539" s="194">
        <v>339222.8</v>
      </c>
      <c r="AE539" s="194">
        <v>7313.6</v>
      </c>
      <c r="AF539" s="76">
        <v>0.08</v>
      </c>
      <c r="AG539" s="70">
        <v>4141.2000000000007</v>
      </c>
      <c r="AH539" s="31"/>
    </row>
    <row r="540" spans="3:34" x14ac:dyDescent="0.25">
      <c r="C540" s="72"/>
      <c r="D540" s="54">
        <v>531</v>
      </c>
      <c r="E540" s="70">
        <v>58351.91</v>
      </c>
      <c r="F540" s="75">
        <v>7805</v>
      </c>
      <c r="G540" s="75">
        <v>90299</v>
      </c>
      <c r="H540" s="194">
        <v>343364</v>
      </c>
      <c r="I540" s="194">
        <v>12791.44</v>
      </c>
      <c r="J540" s="75">
        <v>81753.173721494197</v>
      </c>
      <c r="K540" s="73"/>
      <c r="M540" s="72"/>
      <c r="N540" s="54">
        <v>531</v>
      </c>
      <c r="O540" s="70">
        <v>63452.467500000028</v>
      </c>
      <c r="P540" s="75">
        <v>10837</v>
      </c>
      <c r="Q540" s="75">
        <v>87267</v>
      </c>
      <c r="R540" s="194">
        <v>342036.46750000003</v>
      </c>
      <c r="S540" s="194">
        <v>6363.35</v>
      </c>
      <c r="T540" s="70">
        <v>1327.5325000000005</v>
      </c>
      <c r="U540" s="80">
        <v>81753.173721494197</v>
      </c>
      <c r="V540" s="73"/>
      <c r="X540" s="30"/>
      <c r="Y540" s="54">
        <v>531</v>
      </c>
      <c r="Z540" s="70">
        <v>31853.650000000023</v>
      </c>
      <c r="AA540" s="75">
        <v>10591</v>
      </c>
      <c r="AB540" s="75">
        <v>3966.8500000000004</v>
      </c>
      <c r="AC540" s="75">
        <v>75370.149999999994</v>
      </c>
      <c r="AD540" s="194">
        <v>311041.15000000002</v>
      </c>
      <c r="AE540" s="194">
        <v>6966.85</v>
      </c>
      <c r="AF540" s="76">
        <v>0.05</v>
      </c>
      <c r="AG540" s="70">
        <v>3706.8500000000008</v>
      </c>
      <c r="AH540" s="31"/>
    </row>
    <row r="541" spans="3:34" x14ac:dyDescent="0.25">
      <c r="C541" s="72"/>
      <c r="D541" s="54">
        <v>532</v>
      </c>
      <c r="E541" s="70">
        <v>44493.59</v>
      </c>
      <c r="F541" s="75">
        <v>6600</v>
      </c>
      <c r="G541" s="75">
        <v>87416</v>
      </c>
      <c r="H541" s="194">
        <v>329056</v>
      </c>
      <c r="I541" s="194">
        <v>12341.76</v>
      </c>
      <c r="J541" s="75">
        <v>81753.173721494197</v>
      </c>
      <c r="K541" s="73"/>
      <c r="M541" s="72"/>
      <c r="N541" s="54">
        <v>532</v>
      </c>
      <c r="O541" s="70">
        <v>49444.277499999989</v>
      </c>
      <c r="P541" s="75">
        <v>9521</v>
      </c>
      <c r="Q541" s="75">
        <v>84495</v>
      </c>
      <c r="R541" s="194">
        <v>327889.67749999999</v>
      </c>
      <c r="S541" s="194">
        <v>6224.75</v>
      </c>
      <c r="T541" s="70">
        <v>1166.3225000000004</v>
      </c>
      <c r="U541" s="80">
        <v>81753.173721494197</v>
      </c>
      <c r="V541" s="73"/>
      <c r="X541" s="30"/>
      <c r="Y541" s="54">
        <v>532</v>
      </c>
      <c r="Z541" s="70">
        <v>31280.650000000023</v>
      </c>
      <c r="AA541" s="75">
        <v>12501</v>
      </c>
      <c r="AB541" s="75">
        <v>4645.62</v>
      </c>
      <c r="AC541" s="75">
        <v>72781.38</v>
      </c>
      <c r="AD541" s="194">
        <v>310372.65000000002</v>
      </c>
      <c r="AE541" s="194">
        <v>6871.35</v>
      </c>
      <c r="AF541" s="76">
        <v>0.06</v>
      </c>
      <c r="AG541" s="70">
        <v>4375.3500000000013</v>
      </c>
      <c r="AH541" s="31"/>
    </row>
    <row r="542" spans="3:34" x14ac:dyDescent="0.25">
      <c r="C542" s="72"/>
      <c r="D542" s="54">
        <v>533</v>
      </c>
      <c r="E542" s="70">
        <v>30635.27</v>
      </c>
      <c r="F542" s="75">
        <v>6425</v>
      </c>
      <c r="G542" s="75">
        <v>83503</v>
      </c>
      <c r="H542" s="194">
        <v>314748</v>
      </c>
      <c r="I542" s="194">
        <v>11892.08</v>
      </c>
      <c r="J542" s="75">
        <v>81753.173721494197</v>
      </c>
      <c r="K542" s="73"/>
      <c r="M542" s="72"/>
      <c r="N542" s="54">
        <v>533</v>
      </c>
      <c r="O542" s="70">
        <v>63246.567500000005</v>
      </c>
      <c r="P542" s="75">
        <v>13677</v>
      </c>
      <c r="Q542" s="75">
        <v>84427</v>
      </c>
      <c r="R542" s="194">
        <v>341688.5675</v>
      </c>
      <c r="S542" s="194">
        <v>6221.35</v>
      </c>
      <c r="T542" s="70">
        <v>1675.4325000000008</v>
      </c>
      <c r="U542" s="80">
        <v>81753.173721494197</v>
      </c>
      <c r="V542" s="73"/>
      <c r="X542" s="30"/>
      <c r="Y542" s="54">
        <v>533</v>
      </c>
      <c r="Z542" s="70">
        <v>31008.249999999978</v>
      </c>
      <c r="AA542" s="75">
        <v>13409</v>
      </c>
      <c r="AB542" s="75">
        <v>5356.3300000000008</v>
      </c>
      <c r="AC542" s="75">
        <v>71162.67</v>
      </c>
      <c r="AD542" s="194">
        <v>310054.84999999998</v>
      </c>
      <c r="AE542" s="194">
        <v>6825.9500000000007</v>
      </c>
      <c r="AF542" s="76">
        <v>7.0000000000000007E-2</v>
      </c>
      <c r="AG542" s="70">
        <v>4693.1500000000015</v>
      </c>
      <c r="AH542" s="31"/>
    </row>
    <row r="543" spans="3:34" x14ac:dyDescent="0.25">
      <c r="C543" s="72"/>
      <c r="D543" s="54">
        <v>534</v>
      </c>
      <c r="E543" s="70">
        <v>44493.59</v>
      </c>
      <c r="F543" s="75">
        <v>6640</v>
      </c>
      <c r="G543" s="75">
        <v>87376</v>
      </c>
      <c r="H543" s="194">
        <v>329056</v>
      </c>
      <c r="I543" s="194">
        <v>12341.76</v>
      </c>
      <c r="J543" s="75">
        <v>81753.173721494197</v>
      </c>
      <c r="K543" s="73"/>
      <c r="M543" s="72"/>
      <c r="N543" s="54">
        <v>534</v>
      </c>
      <c r="O543" s="70">
        <v>49437.534999999974</v>
      </c>
      <c r="P543" s="75">
        <v>9614</v>
      </c>
      <c r="Q543" s="75">
        <v>84402</v>
      </c>
      <c r="R543" s="194">
        <v>327878.28499999997</v>
      </c>
      <c r="S543" s="194">
        <v>6220.1</v>
      </c>
      <c r="T543" s="70">
        <v>1177.7150000000006</v>
      </c>
      <c r="U543" s="80">
        <v>81753.173721494197</v>
      </c>
      <c r="V543" s="73"/>
      <c r="X543" s="30"/>
      <c r="Y543" s="54">
        <v>534</v>
      </c>
      <c r="Z543" s="70">
        <v>45455.349999999977</v>
      </c>
      <c r="AA543" s="75">
        <v>12264</v>
      </c>
      <c r="AB543" s="75">
        <v>8175.2000000000007</v>
      </c>
      <c r="AC543" s="75">
        <v>73576.800000000003</v>
      </c>
      <c r="AD543" s="194">
        <v>324763.59999999998</v>
      </c>
      <c r="AE543" s="194">
        <v>7087.6</v>
      </c>
      <c r="AF543" s="76">
        <v>0.1</v>
      </c>
      <c r="AG543" s="70">
        <v>4292.4000000000015</v>
      </c>
      <c r="AH543" s="31"/>
    </row>
    <row r="544" spans="3:34" x14ac:dyDescent="0.25">
      <c r="C544" s="72"/>
      <c r="D544" s="54">
        <v>535</v>
      </c>
      <c r="E544" s="70">
        <v>86065.16</v>
      </c>
      <c r="F544" s="75">
        <v>5263</v>
      </c>
      <c r="G544" s="75">
        <v>101016</v>
      </c>
      <c r="H544" s="194">
        <v>371976.5</v>
      </c>
      <c r="I544" s="194">
        <v>13690.69</v>
      </c>
      <c r="J544" s="75">
        <v>81753.173721494197</v>
      </c>
      <c r="K544" s="73"/>
      <c r="M544" s="72"/>
      <c r="N544" s="54">
        <v>535</v>
      </c>
      <c r="O544" s="70">
        <v>49250.05</v>
      </c>
      <c r="P544" s="75">
        <v>12200</v>
      </c>
      <c r="Q544" s="75">
        <v>81816</v>
      </c>
      <c r="R544" s="194">
        <v>327561.5</v>
      </c>
      <c r="S544" s="194">
        <v>6090.8</v>
      </c>
      <c r="T544" s="70">
        <v>1494.5000000000007</v>
      </c>
      <c r="U544" s="80">
        <v>81753.173721494197</v>
      </c>
      <c r="V544" s="73"/>
      <c r="X544" s="30"/>
      <c r="Y544" s="54">
        <v>535</v>
      </c>
      <c r="Z544" s="70">
        <v>45181.750000000022</v>
      </c>
      <c r="AA544" s="75">
        <v>13176</v>
      </c>
      <c r="AB544" s="75">
        <v>6467.2</v>
      </c>
      <c r="AC544" s="75">
        <v>74372.800000000003</v>
      </c>
      <c r="AD544" s="194">
        <v>324444.40000000002</v>
      </c>
      <c r="AE544" s="194">
        <v>7042</v>
      </c>
      <c r="AF544" s="76">
        <v>0.08</v>
      </c>
      <c r="AG544" s="70">
        <v>4611.6000000000013</v>
      </c>
      <c r="AH544" s="31"/>
    </row>
    <row r="545" spans="3:34" x14ac:dyDescent="0.25">
      <c r="C545" s="72"/>
      <c r="D545" s="54">
        <v>536</v>
      </c>
      <c r="E545" s="70">
        <v>30635.27</v>
      </c>
      <c r="F545" s="75">
        <v>9174</v>
      </c>
      <c r="G545" s="75">
        <v>80754</v>
      </c>
      <c r="H545" s="194">
        <v>314748</v>
      </c>
      <c r="I545" s="194">
        <v>11892.08</v>
      </c>
      <c r="J545" s="75">
        <v>81753.173721494197</v>
      </c>
      <c r="K545" s="73"/>
      <c r="M545" s="72"/>
      <c r="N545" s="54">
        <v>536</v>
      </c>
      <c r="O545" s="70">
        <v>63512.207499999975</v>
      </c>
      <c r="P545" s="75">
        <v>10013</v>
      </c>
      <c r="Q545" s="75">
        <v>88091</v>
      </c>
      <c r="R545" s="194">
        <v>342137.40749999997</v>
      </c>
      <c r="S545" s="194">
        <v>6404.55</v>
      </c>
      <c r="T545" s="70">
        <v>1226.5925000000004</v>
      </c>
      <c r="U545" s="80">
        <v>81753.173721494197</v>
      </c>
      <c r="V545" s="73"/>
      <c r="X545" s="30"/>
      <c r="Y545" s="54">
        <v>536</v>
      </c>
      <c r="Z545" s="70">
        <v>60306.85000000002</v>
      </c>
      <c r="AA545" s="75">
        <v>9771</v>
      </c>
      <c r="AB545" s="75">
        <v>7949.9699999999993</v>
      </c>
      <c r="AC545" s="75">
        <v>80383.03</v>
      </c>
      <c r="AD545" s="194">
        <v>339944.15</v>
      </c>
      <c r="AE545" s="194">
        <v>7416.6500000000005</v>
      </c>
      <c r="AF545" s="76">
        <v>0.09</v>
      </c>
      <c r="AG545" s="70">
        <v>3419.8500000000008</v>
      </c>
      <c r="AH545" s="31"/>
    </row>
    <row r="546" spans="3:34" x14ac:dyDescent="0.25">
      <c r="C546" s="72"/>
      <c r="D546" s="54">
        <v>537</v>
      </c>
      <c r="E546" s="70">
        <v>44493.59</v>
      </c>
      <c r="F546" s="75">
        <v>8346</v>
      </c>
      <c r="G546" s="75">
        <v>85670</v>
      </c>
      <c r="H546" s="194">
        <v>329056</v>
      </c>
      <c r="I546" s="194">
        <v>12341.76</v>
      </c>
      <c r="J546" s="75">
        <v>81753.173721494197</v>
      </c>
      <c r="K546" s="73"/>
      <c r="M546" s="72"/>
      <c r="N546" s="54">
        <v>537</v>
      </c>
      <c r="O546" s="70">
        <v>49470.232499999969</v>
      </c>
      <c r="P546" s="75">
        <v>9163</v>
      </c>
      <c r="Q546" s="75">
        <v>84853</v>
      </c>
      <c r="R546" s="194">
        <v>327933.53249999997</v>
      </c>
      <c r="S546" s="194">
        <v>6242.6500000000005</v>
      </c>
      <c r="T546" s="70">
        <v>1122.4675000000004</v>
      </c>
      <c r="U546" s="80">
        <v>81753.173721494197</v>
      </c>
      <c r="V546" s="73"/>
      <c r="X546" s="30"/>
      <c r="Y546" s="54">
        <v>537</v>
      </c>
      <c r="Z546" s="70">
        <v>88252.60000000002</v>
      </c>
      <c r="AA546" s="75">
        <v>10631</v>
      </c>
      <c r="AB546" s="75">
        <v>5738.88</v>
      </c>
      <c r="AC546" s="75">
        <v>89909.119999999995</v>
      </c>
      <c r="AD546" s="194">
        <v>368255.65</v>
      </c>
      <c r="AE546" s="194">
        <v>7782.4000000000005</v>
      </c>
      <c r="AF546" s="76">
        <v>0.06</v>
      </c>
      <c r="AG546" s="70">
        <v>3720.8500000000008</v>
      </c>
      <c r="AH546" s="31"/>
    </row>
    <row r="547" spans="3:34" x14ac:dyDescent="0.25">
      <c r="C547" s="72"/>
      <c r="D547" s="54">
        <v>538</v>
      </c>
      <c r="E547" s="70">
        <v>44493.59</v>
      </c>
      <c r="F547" s="75">
        <v>4750</v>
      </c>
      <c r="G547" s="75">
        <v>89266</v>
      </c>
      <c r="H547" s="194">
        <v>329056</v>
      </c>
      <c r="I547" s="194">
        <v>12341.76</v>
      </c>
      <c r="J547" s="75">
        <v>81753.173721494197</v>
      </c>
      <c r="K547" s="73"/>
      <c r="M547" s="72"/>
      <c r="N547" s="54">
        <v>538</v>
      </c>
      <c r="O547" s="70">
        <v>49458.052500000013</v>
      </c>
      <c r="P547" s="75">
        <v>9331</v>
      </c>
      <c r="Q547" s="75">
        <v>84685</v>
      </c>
      <c r="R547" s="194">
        <v>327912.95250000001</v>
      </c>
      <c r="S547" s="194">
        <v>6234.25</v>
      </c>
      <c r="T547" s="70">
        <v>1143.0475000000006</v>
      </c>
      <c r="U547" s="80">
        <v>81753.173721494197</v>
      </c>
      <c r="V547" s="73"/>
      <c r="X547" s="30"/>
      <c r="Y547" s="54">
        <v>538</v>
      </c>
      <c r="Z547" s="70">
        <v>32285.95</v>
      </c>
      <c r="AA547" s="75">
        <v>9150</v>
      </c>
      <c r="AB547" s="75">
        <v>4846.6799999999994</v>
      </c>
      <c r="AC547" s="75">
        <v>75931.320000000007</v>
      </c>
      <c r="AD547" s="194">
        <v>311545.5</v>
      </c>
      <c r="AE547" s="194">
        <v>7038.9</v>
      </c>
      <c r="AF547" s="76">
        <v>0.06</v>
      </c>
      <c r="AG547" s="70">
        <v>3202.5000000000009</v>
      </c>
      <c r="AH547" s="31"/>
    </row>
    <row r="548" spans="3:34" x14ac:dyDescent="0.25">
      <c r="C548" s="72"/>
      <c r="D548" s="54">
        <v>539</v>
      </c>
      <c r="E548" s="70">
        <v>30635.27</v>
      </c>
      <c r="F548" s="75">
        <v>4536</v>
      </c>
      <c r="G548" s="75">
        <v>85392</v>
      </c>
      <c r="H548" s="194">
        <v>314748</v>
      </c>
      <c r="I548" s="194">
        <v>11892.08</v>
      </c>
      <c r="J548" s="75">
        <v>81753.173721494197</v>
      </c>
      <c r="K548" s="73"/>
      <c r="M548" s="72"/>
      <c r="N548" s="54">
        <v>539</v>
      </c>
      <c r="O548" s="70">
        <v>49452.760000000009</v>
      </c>
      <c r="P548" s="75">
        <v>9404</v>
      </c>
      <c r="Q548" s="75">
        <v>84612</v>
      </c>
      <c r="R548" s="194">
        <v>327904.01</v>
      </c>
      <c r="S548" s="194">
        <v>6230.6</v>
      </c>
      <c r="T548" s="70">
        <v>1151.9900000000005</v>
      </c>
      <c r="U548" s="80">
        <v>81753.173721494197</v>
      </c>
      <c r="V548" s="73"/>
      <c r="X548" s="30"/>
      <c r="Y548" s="54">
        <v>539</v>
      </c>
      <c r="Z548" s="70">
        <v>60333.549999999988</v>
      </c>
      <c r="AA548" s="75">
        <v>9682</v>
      </c>
      <c r="AB548" s="75">
        <v>4421.1000000000004</v>
      </c>
      <c r="AC548" s="75">
        <v>84000.9</v>
      </c>
      <c r="AD548" s="194">
        <v>339975.3</v>
      </c>
      <c r="AE548" s="194">
        <v>7421.1</v>
      </c>
      <c r="AF548" s="76">
        <v>0.05</v>
      </c>
      <c r="AG548" s="70">
        <v>3388.7000000000007</v>
      </c>
      <c r="AH548" s="31"/>
    </row>
    <row r="549" spans="3:34" x14ac:dyDescent="0.25">
      <c r="C549" s="72"/>
      <c r="D549" s="54">
        <v>540</v>
      </c>
      <c r="E549" s="70">
        <v>44493.59</v>
      </c>
      <c r="F549" s="75">
        <v>8472</v>
      </c>
      <c r="G549" s="75">
        <v>85544</v>
      </c>
      <c r="H549" s="194">
        <v>329056</v>
      </c>
      <c r="I549" s="194">
        <v>12341.76</v>
      </c>
      <c r="J549" s="75">
        <v>81753.173721494197</v>
      </c>
      <c r="K549" s="73"/>
      <c r="M549" s="72"/>
      <c r="N549" s="54">
        <v>540</v>
      </c>
      <c r="O549" s="70">
        <v>35181.394999999982</v>
      </c>
      <c r="P549" s="75">
        <v>11718</v>
      </c>
      <c r="Q549" s="75">
        <v>78210</v>
      </c>
      <c r="R549" s="194">
        <v>313312.54499999998</v>
      </c>
      <c r="S549" s="194">
        <v>5910.5</v>
      </c>
      <c r="T549" s="70">
        <v>1435.4550000000006</v>
      </c>
      <c r="U549" s="80">
        <v>81753.173721494197</v>
      </c>
      <c r="V549" s="73"/>
      <c r="X549" s="30"/>
      <c r="Y549" s="54">
        <v>540</v>
      </c>
      <c r="Z549" s="70">
        <v>46021.44999999999</v>
      </c>
      <c r="AA549" s="75">
        <v>10377</v>
      </c>
      <c r="AB549" s="75">
        <v>6691.12</v>
      </c>
      <c r="AC549" s="75">
        <v>76947.88</v>
      </c>
      <c r="AD549" s="194">
        <v>325424.05</v>
      </c>
      <c r="AE549" s="194">
        <v>7181.95</v>
      </c>
      <c r="AF549" s="76">
        <v>0.08</v>
      </c>
      <c r="AG549" s="70">
        <v>3631.9500000000007</v>
      </c>
      <c r="AH549" s="31"/>
    </row>
    <row r="550" spans="3:34" x14ac:dyDescent="0.25">
      <c r="C550" s="72"/>
      <c r="D550" s="54">
        <v>541</v>
      </c>
      <c r="E550" s="70">
        <v>44493.59</v>
      </c>
      <c r="F550" s="75">
        <v>9643</v>
      </c>
      <c r="G550" s="75">
        <v>84373</v>
      </c>
      <c r="H550" s="194">
        <v>329056</v>
      </c>
      <c r="I550" s="194">
        <v>12341.76</v>
      </c>
      <c r="J550" s="75">
        <v>81753.173721494197</v>
      </c>
      <c r="K550" s="73"/>
      <c r="M550" s="72"/>
      <c r="N550" s="54">
        <v>541</v>
      </c>
      <c r="O550" s="70">
        <v>63321.097499999996</v>
      </c>
      <c r="P550" s="75">
        <v>12649</v>
      </c>
      <c r="Q550" s="75">
        <v>85455</v>
      </c>
      <c r="R550" s="194">
        <v>341814.4975</v>
      </c>
      <c r="S550" s="194">
        <v>6272.75</v>
      </c>
      <c r="T550" s="70">
        <v>1549.5025000000007</v>
      </c>
      <c r="U550" s="80">
        <v>81753.173721494197</v>
      </c>
      <c r="V550" s="73"/>
      <c r="X550" s="30"/>
      <c r="Y550" s="54">
        <v>541</v>
      </c>
      <c r="Z550" s="70">
        <v>31015.749999999978</v>
      </c>
      <c r="AA550" s="75">
        <v>13384</v>
      </c>
      <c r="AB550" s="75">
        <v>6888.96</v>
      </c>
      <c r="AC550" s="75">
        <v>69655.039999999994</v>
      </c>
      <c r="AD550" s="194">
        <v>310063.59999999998</v>
      </c>
      <c r="AE550" s="194">
        <v>6827.2000000000007</v>
      </c>
      <c r="AF550" s="76">
        <v>0.09</v>
      </c>
      <c r="AG550" s="70">
        <v>4684.4000000000015</v>
      </c>
      <c r="AH550" s="31"/>
    </row>
    <row r="551" spans="3:34" x14ac:dyDescent="0.25">
      <c r="C551" s="72"/>
      <c r="D551" s="54">
        <v>542</v>
      </c>
      <c r="E551" s="70">
        <v>44493.59</v>
      </c>
      <c r="F551" s="75">
        <v>4595</v>
      </c>
      <c r="G551" s="75">
        <v>89421</v>
      </c>
      <c r="H551" s="194">
        <v>329056</v>
      </c>
      <c r="I551" s="194">
        <v>12341.76</v>
      </c>
      <c r="J551" s="75">
        <v>81753.173721494197</v>
      </c>
      <c r="K551" s="73"/>
      <c r="M551" s="72"/>
      <c r="N551" s="54">
        <v>542</v>
      </c>
      <c r="O551" s="70">
        <v>63450.727499999964</v>
      </c>
      <c r="P551" s="75">
        <v>10861</v>
      </c>
      <c r="Q551" s="75">
        <v>87243</v>
      </c>
      <c r="R551" s="194">
        <v>342033.52749999997</v>
      </c>
      <c r="S551" s="194">
        <v>6362.1500000000005</v>
      </c>
      <c r="T551" s="70">
        <v>1330.4725000000005</v>
      </c>
      <c r="U551" s="80">
        <v>81753.173721494197</v>
      </c>
      <c r="V551" s="73"/>
      <c r="X551" s="30"/>
      <c r="Y551" s="54">
        <v>542</v>
      </c>
      <c r="Z551" s="70">
        <v>60000.85000000002</v>
      </c>
      <c r="AA551" s="75">
        <v>10791</v>
      </c>
      <c r="AB551" s="75">
        <v>6111.9100000000008</v>
      </c>
      <c r="AC551" s="75">
        <v>81201.09</v>
      </c>
      <c r="AD551" s="194">
        <v>339587.15</v>
      </c>
      <c r="AE551" s="194">
        <v>7365.6500000000005</v>
      </c>
      <c r="AF551" s="76">
        <v>7.0000000000000007E-2</v>
      </c>
      <c r="AG551" s="70">
        <v>3776.8500000000008</v>
      </c>
      <c r="AH551" s="31"/>
    </row>
    <row r="552" spans="3:34" x14ac:dyDescent="0.25">
      <c r="C552" s="72"/>
      <c r="D552" s="54">
        <v>543</v>
      </c>
      <c r="E552" s="70">
        <v>44493.59</v>
      </c>
      <c r="F552" s="75">
        <v>4814</v>
      </c>
      <c r="G552" s="75">
        <v>89202</v>
      </c>
      <c r="H552" s="194">
        <v>329056</v>
      </c>
      <c r="I552" s="194">
        <v>12341.76</v>
      </c>
      <c r="J552" s="75">
        <v>81753.173721494197</v>
      </c>
      <c r="K552" s="73"/>
      <c r="M552" s="72"/>
      <c r="N552" s="54">
        <v>543</v>
      </c>
      <c r="O552" s="70">
        <v>49455.007499999992</v>
      </c>
      <c r="P552" s="75">
        <v>9373</v>
      </c>
      <c r="Q552" s="75">
        <v>84643</v>
      </c>
      <c r="R552" s="194">
        <v>327907.8075</v>
      </c>
      <c r="S552" s="194">
        <v>6232.1500000000005</v>
      </c>
      <c r="T552" s="70">
        <v>1148.1925000000006</v>
      </c>
      <c r="U552" s="80">
        <v>81753.173721494197</v>
      </c>
      <c r="V552" s="73"/>
      <c r="X552" s="30"/>
      <c r="Y552" s="54">
        <v>543</v>
      </c>
      <c r="Z552" s="70">
        <v>31008.849999999988</v>
      </c>
      <c r="AA552" s="75">
        <v>13407</v>
      </c>
      <c r="AB552" s="75">
        <v>4591.26</v>
      </c>
      <c r="AC552" s="75">
        <v>71929.740000000005</v>
      </c>
      <c r="AD552" s="194">
        <v>310055.55</v>
      </c>
      <c r="AE552" s="194">
        <v>6826.05</v>
      </c>
      <c r="AF552" s="76">
        <v>0.06</v>
      </c>
      <c r="AG552" s="70">
        <v>4692.4500000000016</v>
      </c>
      <c r="AH552" s="31"/>
    </row>
    <row r="553" spans="3:34" x14ac:dyDescent="0.25">
      <c r="C553" s="72"/>
      <c r="D553" s="54">
        <v>544</v>
      </c>
      <c r="E553" s="70">
        <v>30635.27</v>
      </c>
      <c r="F553" s="75">
        <v>9005</v>
      </c>
      <c r="G553" s="75">
        <v>80923</v>
      </c>
      <c r="H553" s="194">
        <v>314748</v>
      </c>
      <c r="I553" s="194">
        <v>11892.08</v>
      </c>
      <c r="J553" s="75">
        <v>81753.173721494197</v>
      </c>
      <c r="K553" s="73"/>
      <c r="M553" s="72"/>
      <c r="N553" s="54">
        <v>544</v>
      </c>
      <c r="O553" s="70">
        <v>63310.077499999999</v>
      </c>
      <c r="P553" s="75">
        <v>12801</v>
      </c>
      <c r="Q553" s="75">
        <v>85303</v>
      </c>
      <c r="R553" s="194">
        <v>341795.8775</v>
      </c>
      <c r="S553" s="194">
        <v>6265.1500000000005</v>
      </c>
      <c r="T553" s="70">
        <v>1568.1225000000006</v>
      </c>
      <c r="U553" s="80">
        <v>81753.173721494197</v>
      </c>
      <c r="V553" s="73"/>
      <c r="X553" s="30"/>
      <c r="Y553" s="54">
        <v>544</v>
      </c>
      <c r="Z553" s="70">
        <v>44885.650000000009</v>
      </c>
      <c r="AA553" s="75">
        <v>14163</v>
      </c>
      <c r="AB553" s="75">
        <v>7985.3</v>
      </c>
      <c r="AC553" s="75">
        <v>71867.7</v>
      </c>
      <c r="AD553" s="194">
        <v>324098.95</v>
      </c>
      <c r="AE553" s="194">
        <v>6992.65</v>
      </c>
      <c r="AF553" s="76">
        <v>0.1</v>
      </c>
      <c r="AG553" s="70">
        <v>4957.0500000000011</v>
      </c>
      <c r="AH553" s="31"/>
    </row>
    <row r="554" spans="3:34" x14ac:dyDescent="0.25">
      <c r="C554" s="72"/>
      <c r="D554" s="54">
        <v>545</v>
      </c>
      <c r="E554" s="70">
        <v>30635.27</v>
      </c>
      <c r="F554" s="75">
        <v>4505</v>
      </c>
      <c r="G554" s="75">
        <v>85423</v>
      </c>
      <c r="H554" s="194">
        <v>314748</v>
      </c>
      <c r="I554" s="194">
        <v>11892.08</v>
      </c>
      <c r="J554" s="75">
        <v>81753.173721494197</v>
      </c>
      <c r="K554" s="73"/>
      <c r="M554" s="72"/>
      <c r="N554" s="54">
        <v>545</v>
      </c>
      <c r="O554" s="70">
        <v>63316.167499999981</v>
      </c>
      <c r="P554" s="75">
        <v>12717</v>
      </c>
      <c r="Q554" s="75">
        <v>85387</v>
      </c>
      <c r="R554" s="194">
        <v>341806.16749999998</v>
      </c>
      <c r="S554" s="194">
        <v>6269.35</v>
      </c>
      <c r="T554" s="70">
        <v>1557.8325000000007</v>
      </c>
      <c r="U554" s="80">
        <v>81753.173721494197</v>
      </c>
      <c r="V554" s="73"/>
      <c r="X554" s="30"/>
      <c r="Y554" s="54">
        <v>545</v>
      </c>
      <c r="Z554" s="70">
        <v>31251.249999999978</v>
      </c>
      <c r="AA554" s="75">
        <v>12599</v>
      </c>
      <c r="AB554" s="75">
        <v>3866.4500000000003</v>
      </c>
      <c r="AC554" s="75">
        <v>73462.55</v>
      </c>
      <c r="AD554" s="194">
        <v>310338.34999999998</v>
      </c>
      <c r="AE554" s="194">
        <v>6866.4500000000007</v>
      </c>
      <c r="AF554" s="76">
        <v>0.05</v>
      </c>
      <c r="AG554" s="70">
        <v>4409.6500000000015</v>
      </c>
      <c r="AH554" s="31"/>
    </row>
    <row r="555" spans="3:34" x14ac:dyDescent="0.25">
      <c r="C555" s="72"/>
      <c r="D555" s="54">
        <v>546</v>
      </c>
      <c r="E555" s="70">
        <v>86065.16</v>
      </c>
      <c r="F555" s="75">
        <v>10524</v>
      </c>
      <c r="G555" s="75">
        <v>95755</v>
      </c>
      <c r="H555" s="194">
        <v>371976.5</v>
      </c>
      <c r="I555" s="194">
        <v>13690.69</v>
      </c>
      <c r="J555" s="75">
        <v>81753.173721494197</v>
      </c>
      <c r="K555" s="73"/>
      <c r="M555" s="72"/>
      <c r="N555" s="54">
        <v>546</v>
      </c>
      <c r="O555" s="70">
        <v>35179.944999999971</v>
      </c>
      <c r="P555" s="75">
        <v>11738</v>
      </c>
      <c r="Q555" s="75">
        <v>78190</v>
      </c>
      <c r="R555" s="194">
        <v>313310.09499999997</v>
      </c>
      <c r="S555" s="194">
        <v>5909.5</v>
      </c>
      <c r="T555" s="70">
        <v>1437.9050000000007</v>
      </c>
      <c r="U555" s="80">
        <v>81753.173721494197</v>
      </c>
      <c r="V555" s="73"/>
      <c r="X555" s="30"/>
      <c r="Y555" s="54">
        <v>546</v>
      </c>
      <c r="Z555" s="70">
        <v>60290.65</v>
      </c>
      <c r="AA555" s="75">
        <v>9825</v>
      </c>
      <c r="AB555" s="75">
        <v>7945.11</v>
      </c>
      <c r="AC555" s="75">
        <v>80333.89</v>
      </c>
      <c r="AD555" s="194">
        <v>339925.25</v>
      </c>
      <c r="AE555" s="194">
        <v>7413.95</v>
      </c>
      <c r="AF555" s="76">
        <v>0.09</v>
      </c>
      <c r="AG555" s="70">
        <v>3438.7500000000009</v>
      </c>
      <c r="AH555" s="31"/>
    </row>
    <row r="556" spans="3:34" x14ac:dyDescent="0.25">
      <c r="C556" s="72"/>
      <c r="D556" s="54">
        <v>547</v>
      </c>
      <c r="E556" s="70">
        <v>58351.91</v>
      </c>
      <c r="F556" s="75">
        <v>9738</v>
      </c>
      <c r="G556" s="75">
        <v>88366</v>
      </c>
      <c r="H556" s="194">
        <v>343364</v>
      </c>
      <c r="I556" s="194">
        <v>12791.44</v>
      </c>
      <c r="J556" s="75">
        <v>81753.173721494197</v>
      </c>
      <c r="K556" s="73"/>
      <c r="M556" s="72"/>
      <c r="N556" s="54">
        <v>547</v>
      </c>
      <c r="O556" s="70">
        <v>35186.904999999984</v>
      </c>
      <c r="P556" s="75">
        <v>11642</v>
      </c>
      <c r="Q556" s="75">
        <v>78286</v>
      </c>
      <c r="R556" s="194">
        <v>313321.85499999998</v>
      </c>
      <c r="S556" s="194">
        <v>5914.3</v>
      </c>
      <c r="T556" s="70">
        <v>1426.1450000000007</v>
      </c>
      <c r="U556" s="80">
        <v>81753.173721494197</v>
      </c>
      <c r="V556" s="73"/>
      <c r="X556" s="30"/>
      <c r="Y556" s="54">
        <v>547</v>
      </c>
      <c r="Z556" s="70">
        <v>31229.05000000001</v>
      </c>
      <c r="AA556" s="75">
        <v>12673</v>
      </c>
      <c r="AB556" s="75">
        <v>4635.3</v>
      </c>
      <c r="AC556" s="75">
        <v>72619.7</v>
      </c>
      <c r="AD556" s="194">
        <v>310312.45</v>
      </c>
      <c r="AE556" s="194">
        <v>6862.75</v>
      </c>
      <c r="AF556" s="76">
        <v>0.06</v>
      </c>
      <c r="AG556" s="70">
        <v>4435.5500000000011</v>
      </c>
      <c r="AH556" s="31"/>
    </row>
    <row r="557" spans="3:34" x14ac:dyDescent="0.25">
      <c r="C557" s="72"/>
      <c r="D557" s="54">
        <v>548</v>
      </c>
      <c r="E557" s="70">
        <v>44493.59</v>
      </c>
      <c r="F557" s="75">
        <v>8447</v>
      </c>
      <c r="G557" s="75">
        <v>85569</v>
      </c>
      <c r="H557" s="194">
        <v>329056</v>
      </c>
      <c r="I557" s="194">
        <v>12341.76</v>
      </c>
      <c r="J557" s="75">
        <v>81753.173721494197</v>
      </c>
      <c r="K557" s="73"/>
      <c r="M557" s="72"/>
      <c r="N557" s="54">
        <v>548</v>
      </c>
      <c r="O557" s="70">
        <v>49382.217500000006</v>
      </c>
      <c r="P557" s="75">
        <v>10377</v>
      </c>
      <c r="Q557" s="75">
        <v>83639</v>
      </c>
      <c r="R557" s="194">
        <v>327784.8175</v>
      </c>
      <c r="S557" s="194">
        <v>6181.95</v>
      </c>
      <c r="T557" s="70">
        <v>1271.1825000000006</v>
      </c>
      <c r="U557" s="80">
        <v>81753.173721494197</v>
      </c>
      <c r="V557" s="73"/>
      <c r="X557" s="30"/>
      <c r="Y557" s="54">
        <v>548</v>
      </c>
      <c r="Z557" s="70">
        <v>31761.55000000001</v>
      </c>
      <c r="AA557" s="75">
        <v>10898</v>
      </c>
      <c r="AB557" s="75">
        <v>4741.8</v>
      </c>
      <c r="AC557" s="75">
        <v>74288.2</v>
      </c>
      <c r="AD557" s="194">
        <v>310933.7</v>
      </c>
      <c r="AE557" s="194">
        <v>6951.5</v>
      </c>
      <c r="AF557" s="76">
        <v>0.06</v>
      </c>
      <c r="AG557" s="70">
        <v>3814.3000000000011</v>
      </c>
      <c r="AH557" s="31"/>
    </row>
    <row r="558" spans="3:34" x14ac:dyDescent="0.25">
      <c r="C558" s="72"/>
      <c r="D558" s="54">
        <v>549</v>
      </c>
      <c r="E558" s="70">
        <v>58351.91</v>
      </c>
      <c r="F558" s="75">
        <v>9858</v>
      </c>
      <c r="G558" s="75">
        <v>88246</v>
      </c>
      <c r="H558" s="194">
        <v>343364</v>
      </c>
      <c r="I558" s="194">
        <v>12791.44</v>
      </c>
      <c r="J558" s="75">
        <v>81753.173721494197</v>
      </c>
      <c r="K558" s="73"/>
      <c r="M558" s="72"/>
      <c r="N558" s="54">
        <v>549</v>
      </c>
      <c r="O558" s="70">
        <v>63392.655000000028</v>
      </c>
      <c r="P558" s="75">
        <v>11662</v>
      </c>
      <c r="Q558" s="75">
        <v>86442</v>
      </c>
      <c r="R558" s="194">
        <v>341935.40500000003</v>
      </c>
      <c r="S558" s="194">
        <v>6322.1</v>
      </c>
      <c r="T558" s="70">
        <v>1428.5950000000007</v>
      </c>
      <c r="U558" s="80">
        <v>81753.173721494197</v>
      </c>
      <c r="V558" s="73"/>
      <c r="X558" s="30"/>
      <c r="Y558" s="54">
        <v>549</v>
      </c>
      <c r="Z558" s="70">
        <v>45716.05</v>
      </c>
      <c r="AA558" s="75">
        <v>11395</v>
      </c>
      <c r="AB558" s="75">
        <v>8262.1</v>
      </c>
      <c r="AC558" s="75">
        <v>74358.899999999994</v>
      </c>
      <c r="AD558" s="194">
        <v>325067.75</v>
      </c>
      <c r="AE558" s="194">
        <v>7131.05</v>
      </c>
      <c r="AF558" s="76">
        <v>0.1</v>
      </c>
      <c r="AG558" s="70">
        <v>3988.2500000000009</v>
      </c>
      <c r="AH558" s="31"/>
    </row>
    <row r="559" spans="3:34" x14ac:dyDescent="0.25">
      <c r="C559" s="72"/>
      <c r="D559" s="54">
        <v>550</v>
      </c>
      <c r="E559" s="70">
        <v>30635.27</v>
      </c>
      <c r="F559" s="75">
        <v>7316</v>
      </c>
      <c r="G559" s="75">
        <v>82612</v>
      </c>
      <c r="H559" s="194">
        <v>314748</v>
      </c>
      <c r="I559" s="194">
        <v>11892.08</v>
      </c>
      <c r="J559" s="75">
        <v>81753.173721494197</v>
      </c>
      <c r="K559" s="73"/>
      <c r="M559" s="72"/>
      <c r="N559" s="54">
        <v>550</v>
      </c>
      <c r="O559" s="70">
        <v>91587.269999999975</v>
      </c>
      <c r="P559" s="75">
        <v>11788</v>
      </c>
      <c r="Q559" s="75">
        <v>94491</v>
      </c>
      <c r="R559" s="194">
        <v>370532.47</v>
      </c>
      <c r="S559" s="194">
        <v>6724.55</v>
      </c>
      <c r="T559" s="70">
        <v>1444.0300000000007</v>
      </c>
      <c r="U559" s="80">
        <v>81753.173721494197</v>
      </c>
      <c r="V559" s="73"/>
      <c r="X559" s="30"/>
      <c r="Y559" s="54">
        <v>550</v>
      </c>
      <c r="Z559" s="70">
        <v>60042.549999999988</v>
      </c>
      <c r="AA559" s="75">
        <v>10652</v>
      </c>
      <c r="AB559" s="75">
        <v>7870.6799999999994</v>
      </c>
      <c r="AC559" s="75">
        <v>79581.320000000007</v>
      </c>
      <c r="AD559" s="194">
        <v>339635.8</v>
      </c>
      <c r="AE559" s="194">
        <v>7372.6</v>
      </c>
      <c r="AF559" s="76">
        <v>0.09</v>
      </c>
      <c r="AG559" s="70">
        <v>3728.2000000000007</v>
      </c>
      <c r="AH559" s="31"/>
    </row>
    <row r="560" spans="3:34" x14ac:dyDescent="0.25">
      <c r="C560" s="72"/>
      <c r="D560" s="54">
        <v>551</v>
      </c>
      <c r="E560" s="70">
        <v>58351.91</v>
      </c>
      <c r="F560" s="75">
        <v>8906</v>
      </c>
      <c r="G560" s="75">
        <v>89198</v>
      </c>
      <c r="H560" s="194">
        <v>343364</v>
      </c>
      <c r="I560" s="194">
        <v>12791.44</v>
      </c>
      <c r="J560" s="75">
        <v>81753.173721494197</v>
      </c>
      <c r="K560" s="73"/>
      <c r="M560" s="72"/>
      <c r="N560" s="54">
        <v>551</v>
      </c>
      <c r="O560" s="70">
        <v>63170.37000000001</v>
      </c>
      <c r="P560" s="75">
        <v>14728</v>
      </c>
      <c r="Q560" s="75">
        <v>83376</v>
      </c>
      <c r="R560" s="194">
        <v>341559.82</v>
      </c>
      <c r="S560" s="194">
        <v>6168.8</v>
      </c>
      <c r="T560" s="70">
        <v>1804.1800000000007</v>
      </c>
      <c r="U560" s="80">
        <v>81753.173721494197</v>
      </c>
      <c r="V560" s="73"/>
      <c r="X560" s="30"/>
      <c r="Y560" s="54">
        <v>551</v>
      </c>
      <c r="Z560" s="70">
        <v>31505.650000000023</v>
      </c>
      <c r="AA560" s="75">
        <v>11751</v>
      </c>
      <c r="AB560" s="75">
        <v>7817.7000000000007</v>
      </c>
      <c r="AC560" s="75">
        <v>70359.3</v>
      </c>
      <c r="AD560" s="194">
        <v>310635.15000000002</v>
      </c>
      <c r="AE560" s="194">
        <v>6908.85</v>
      </c>
      <c r="AF560" s="76">
        <v>0.1</v>
      </c>
      <c r="AG560" s="70">
        <v>4112.8500000000013</v>
      </c>
      <c r="AH560" s="31"/>
    </row>
    <row r="561" spans="3:34" x14ac:dyDescent="0.25">
      <c r="C561" s="72"/>
      <c r="D561" s="54">
        <v>552</v>
      </c>
      <c r="E561" s="70">
        <v>30635.27</v>
      </c>
      <c r="F561" s="75">
        <v>4451</v>
      </c>
      <c r="G561" s="75">
        <v>85477</v>
      </c>
      <c r="H561" s="194">
        <v>314748</v>
      </c>
      <c r="I561" s="194">
        <v>11892.08</v>
      </c>
      <c r="J561" s="75">
        <v>81753.173721494197</v>
      </c>
      <c r="K561" s="73"/>
      <c r="M561" s="72"/>
      <c r="N561" s="54">
        <v>552</v>
      </c>
      <c r="O561" s="70">
        <v>35312.765000000014</v>
      </c>
      <c r="P561" s="75">
        <v>9906</v>
      </c>
      <c r="Q561" s="75">
        <v>80022</v>
      </c>
      <c r="R561" s="194">
        <v>313534.51500000001</v>
      </c>
      <c r="S561" s="194">
        <v>6001.1</v>
      </c>
      <c r="T561" s="70">
        <v>1213.4850000000006</v>
      </c>
      <c r="U561" s="80">
        <v>81753.173721494197</v>
      </c>
      <c r="V561" s="73"/>
      <c r="X561" s="30"/>
      <c r="Y561" s="54">
        <v>552</v>
      </c>
      <c r="Z561" s="70">
        <v>32368.150000000023</v>
      </c>
      <c r="AA561" s="75">
        <v>8876</v>
      </c>
      <c r="AB561" s="75">
        <v>5673.64</v>
      </c>
      <c r="AC561" s="75">
        <v>75378.36</v>
      </c>
      <c r="AD561" s="194">
        <v>311641.40000000002</v>
      </c>
      <c r="AE561" s="194">
        <v>7052.6</v>
      </c>
      <c r="AF561" s="76">
        <v>7.0000000000000007E-2</v>
      </c>
      <c r="AG561" s="70">
        <v>3106.6000000000008</v>
      </c>
      <c r="AH561" s="31"/>
    </row>
    <row r="562" spans="3:34" x14ac:dyDescent="0.25">
      <c r="C562" s="72"/>
      <c r="D562" s="54">
        <v>553</v>
      </c>
      <c r="E562" s="70">
        <v>44493.59</v>
      </c>
      <c r="F562" s="75">
        <v>4705</v>
      </c>
      <c r="G562" s="75">
        <v>89311</v>
      </c>
      <c r="H562" s="194">
        <v>329056</v>
      </c>
      <c r="I562" s="194">
        <v>12341.76</v>
      </c>
      <c r="J562" s="75">
        <v>81753.173721494197</v>
      </c>
      <c r="K562" s="73"/>
      <c r="M562" s="72"/>
      <c r="N562" s="54">
        <v>553</v>
      </c>
      <c r="O562" s="70">
        <v>63524.749999999978</v>
      </c>
      <c r="P562" s="75">
        <v>9840</v>
      </c>
      <c r="Q562" s="75">
        <v>88264</v>
      </c>
      <c r="R562" s="194">
        <v>342158.6</v>
      </c>
      <c r="S562" s="194">
        <v>6413.2</v>
      </c>
      <c r="T562" s="70">
        <v>1205.4000000000005</v>
      </c>
      <c r="U562" s="80">
        <v>81753.173721494197</v>
      </c>
      <c r="V562" s="73"/>
      <c r="X562" s="30"/>
      <c r="Y562" s="54">
        <v>553</v>
      </c>
      <c r="Z562" s="70">
        <v>87926.199999999983</v>
      </c>
      <c r="AA562" s="75">
        <v>11719</v>
      </c>
      <c r="AB562" s="75">
        <v>5673.5999999999995</v>
      </c>
      <c r="AC562" s="75">
        <v>88886.399999999994</v>
      </c>
      <c r="AD562" s="194">
        <v>367874.85</v>
      </c>
      <c r="AE562" s="194">
        <v>7728</v>
      </c>
      <c r="AF562" s="76">
        <v>0.06</v>
      </c>
      <c r="AG562" s="70">
        <v>4101.6500000000015</v>
      </c>
      <c r="AH562" s="31"/>
    </row>
    <row r="563" spans="3:34" x14ac:dyDescent="0.25">
      <c r="C563" s="72"/>
      <c r="D563" s="54">
        <v>554</v>
      </c>
      <c r="E563" s="70">
        <v>30635.27</v>
      </c>
      <c r="F563" s="75">
        <v>5383</v>
      </c>
      <c r="G563" s="75">
        <v>84545</v>
      </c>
      <c r="H563" s="194">
        <v>314748</v>
      </c>
      <c r="I563" s="194">
        <v>11892.08</v>
      </c>
      <c r="J563" s="75">
        <v>81753.173721494197</v>
      </c>
      <c r="K563" s="73"/>
      <c r="M563" s="72"/>
      <c r="N563" s="54">
        <v>554</v>
      </c>
      <c r="O563" s="70">
        <v>63450.147499999985</v>
      </c>
      <c r="P563" s="75">
        <v>10869</v>
      </c>
      <c r="Q563" s="75">
        <v>87235</v>
      </c>
      <c r="R563" s="194">
        <v>342032.54749999999</v>
      </c>
      <c r="S563" s="194">
        <v>6361.75</v>
      </c>
      <c r="T563" s="70">
        <v>1331.4525000000006</v>
      </c>
      <c r="U563" s="80">
        <v>81753.173721494197</v>
      </c>
      <c r="V563" s="73"/>
      <c r="X563" s="30"/>
      <c r="Y563" s="54">
        <v>554</v>
      </c>
      <c r="Z563" s="70">
        <v>31566.849999999988</v>
      </c>
      <c r="AA563" s="75">
        <v>11547</v>
      </c>
      <c r="AB563" s="75">
        <v>7838.1</v>
      </c>
      <c r="AC563" s="75">
        <v>70542.899999999994</v>
      </c>
      <c r="AD563" s="194">
        <v>310706.55</v>
      </c>
      <c r="AE563" s="194">
        <v>6919.05</v>
      </c>
      <c r="AF563" s="76">
        <v>0.1</v>
      </c>
      <c r="AG563" s="70">
        <v>4041.4500000000012</v>
      </c>
      <c r="AH563" s="31"/>
    </row>
    <row r="564" spans="3:34" x14ac:dyDescent="0.25">
      <c r="C564" s="72"/>
      <c r="D564" s="54">
        <v>555</v>
      </c>
      <c r="E564" s="70">
        <v>58351.91</v>
      </c>
      <c r="F564" s="75">
        <v>4927</v>
      </c>
      <c r="G564" s="75">
        <v>93177</v>
      </c>
      <c r="H564" s="194">
        <v>343364</v>
      </c>
      <c r="I564" s="194">
        <v>12791.44</v>
      </c>
      <c r="J564" s="75">
        <v>81753.173721494197</v>
      </c>
      <c r="K564" s="73"/>
      <c r="M564" s="72"/>
      <c r="N564" s="54">
        <v>555</v>
      </c>
      <c r="O564" s="70">
        <v>35382.727499999979</v>
      </c>
      <c r="P564" s="75">
        <v>8941</v>
      </c>
      <c r="Q564" s="75">
        <v>80987</v>
      </c>
      <c r="R564" s="194">
        <v>313652.72749999998</v>
      </c>
      <c r="S564" s="194">
        <v>6049.35</v>
      </c>
      <c r="T564" s="70">
        <v>1095.2725000000005</v>
      </c>
      <c r="U564" s="80">
        <v>81753.173721494197</v>
      </c>
      <c r="V564" s="73"/>
      <c r="X564" s="30"/>
      <c r="Y564" s="54">
        <v>555</v>
      </c>
      <c r="Z564" s="70">
        <v>30991.45</v>
      </c>
      <c r="AA564" s="75">
        <v>13465</v>
      </c>
      <c r="AB564" s="75">
        <v>7646.3</v>
      </c>
      <c r="AC564" s="75">
        <v>68816.7</v>
      </c>
      <c r="AD564" s="194">
        <v>310035.25</v>
      </c>
      <c r="AE564" s="194">
        <v>6823.15</v>
      </c>
      <c r="AF564" s="76">
        <v>0.1</v>
      </c>
      <c r="AG564" s="70">
        <v>4712.7500000000009</v>
      </c>
      <c r="AH564" s="31"/>
    </row>
    <row r="565" spans="3:34" x14ac:dyDescent="0.25">
      <c r="C565" s="72"/>
      <c r="D565" s="54">
        <v>556</v>
      </c>
      <c r="E565" s="70">
        <v>58351.91</v>
      </c>
      <c r="F565" s="75">
        <v>5863</v>
      </c>
      <c r="G565" s="75">
        <v>92241</v>
      </c>
      <c r="H565" s="194">
        <v>343364</v>
      </c>
      <c r="I565" s="194">
        <v>12791.44</v>
      </c>
      <c r="J565" s="75">
        <v>81753.173721494197</v>
      </c>
      <c r="K565" s="73"/>
      <c r="M565" s="72"/>
      <c r="N565" s="54">
        <v>556</v>
      </c>
      <c r="O565" s="70">
        <v>49181.247499999998</v>
      </c>
      <c r="P565" s="75">
        <v>13149</v>
      </c>
      <c r="Q565" s="75">
        <v>80867</v>
      </c>
      <c r="R565" s="194">
        <v>327445.2475</v>
      </c>
      <c r="S565" s="194">
        <v>6043.35</v>
      </c>
      <c r="T565" s="70">
        <v>1610.7525000000007</v>
      </c>
      <c r="U565" s="80">
        <v>81753.173721494197</v>
      </c>
      <c r="V565" s="73"/>
      <c r="X565" s="30"/>
      <c r="Y565" s="54">
        <v>556</v>
      </c>
      <c r="Z565" s="70">
        <v>32077.749999999978</v>
      </c>
      <c r="AA565" s="75">
        <v>9844</v>
      </c>
      <c r="AB565" s="75">
        <v>6406.72</v>
      </c>
      <c r="AC565" s="75">
        <v>73677.279999999999</v>
      </c>
      <c r="AD565" s="194">
        <v>311302.59999999998</v>
      </c>
      <c r="AE565" s="194">
        <v>7004.2000000000007</v>
      </c>
      <c r="AF565" s="76">
        <v>0.08</v>
      </c>
      <c r="AG565" s="70">
        <v>3445.400000000001</v>
      </c>
      <c r="AH565" s="31"/>
    </row>
    <row r="566" spans="3:34" x14ac:dyDescent="0.25">
      <c r="C566" s="72"/>
      <c r="D566" s="54">
        <v>557</v>
      </c>
      <c r="E566" s="70">
        <v>44493.59</v>
      </c>
      <c r="F566" s="75">
        <v>4698</v>
      </c>
      <c r="G566" s="75">
        <v>89318</v>
      </c>
      <c r="H566" s="194">
        <v>329056</v>
      </c>
      <c r="I566" s="194">
        <v>12341.76</v>
      </c>
      <c r="J566" s="75">
        <v>81753.173721494197</v>
      </c>
      <c r="K566" s="73"/>
      <c r="M566" s="72"/>
      <c r="N566" s="54">
        <v>557</v>
      </c>
      <c r="O566" s="70">
        <v>49377.504999999983</v>
      </c>
      <c r="P566" s="75">
        <v>10442</v>
      </c>
      <c r="Q566" s="75">
        <v>83574</v>
      </c>
      <c r="R566" s="194">
        <v>327776.85499999998</v>
      </c>
      <c r="S566" s="194">
        <v>6178.7</v>
      </c>
      <c r="T566" s="70">
        <v>1279.1450000000007</v>
      </c>
      <c r="U566" s="80">
        <v>81753.173721494197</v>
      </c>
      <c r="V566" s="73"/>
      <c r="X566" s="30"/>
      <c r="Y566" s="54">
        <v>557</v>
      </c>
      <c r="Z566" s="70">
        <v>32336.650000000023</v>
      </c>
      <c r="AA566" s="75">
        <v>8981</v>
      </c>
      <c r="AB566" s="75">
        <v>7285.23</v>
      </c>
      <c r="AC566" s="75">
        <v>73661.77</v>
      </c>
      <c r="AD566" s="194">
        <v>311604.65000000002</v>
      </c>
      <c r="AE566" s="194">
        <v>7047.35</v>
      </c>
      <c r="AF566" s="76">
        <v>0.09</v>
      </c>
      <c r="AG566" s="70">
        <v>3143.3500000000008</v>
      </c>
      <c r="AH566" s="31"/>
    </row>
    <row r="567" spans="3:34" x14ac:dyDescent="0.25">
      <c r="C567" s="72"/>
      <c r="D567" s="54">
        <v>558</v>
      </c>
      <c r="E567" s="70">
        <v>30635.27</v>
      </c>
      <c r="F567" s="75">
        <v>9029</v>
      </c>
      <c r="G567" s="75">
        <v>80899</v>
      </c>
      <c r="H567" s="194">
        <v>314748</v>
      </c>
      <c r="I567" s="194">
        <v>11892.08</v>
      </c>
      <c r="J567" s="75">
        <v>81753.173721494197</v>
      </c>
      <c r="K567" s="73"/>
      <c r="M567" s="72"/>
      <c r="N567" s="54">
        <v>558</v>
      </c>
      <c r="O567" s="70">
        <v>63384.24500000001</v>
      </c>
      <c r="P567" s="75">
        <v>11778</v>
      </c>
      <c r="Q567" s="75">
        <v>86326</v>
      </c>
      <c r="R567" s="194">
        <v>341921.19500000001</v>
      </c>
      <c r="S567" s="194">
        <v>6316.3</v>
      </c>
      <c r="T567" s="70">
        <v>1442.8050000000005</v>
      </c>
      <c r="U567" s="80">
        <v>81753.173721494197</v>
      </c>
      <c r="V567" s="73"/>
      <c r="X567" s="30"/>
      <c r="Y567" s="54">
        <v>558</v>
      </c>
      <c r="Z567" s="70">
        <v>32303.349999999988</v>
      </c>
      <c r="AA567" s="75">
        <v>9092</v>
      </c>
      <c r="AB567" s="75">
        <v>4850.16</v>
      </c>
      <c r="AC567" s="75">
        <v>75985.84</v>
      </c>
      <c r="AD567" s="194">
        <v>311565.8</v>
      </c>
      <c r="AE567" s="194">
        <v>7041.8</v>
      </c>
      <c r="AF567" s="76">
        <v>0.06</v>
      </c>
      <c r="AG567" s="70">
        <v>3182.2000000000007</v>
      </c>
      <c r="AH567" s="31"/>
    </row>
    <row r="568" spans="3:34" x14ac:dyDescent="0.25">
      <c r="C568" s="72"/>
      <c r="D568" s="54">
        <v>559</v>
      </c>
      <c r="E568" s="70">
        <v>44493.59</v>
      </c>
      <c r="F568" s="75">
        <v>7440</v>
      </c>
      <c r="G568" s="75">
        <v>86576</v>
      </c>
      <c r="H568" s="194">
        <v>329056</v>
      </c>
      <c r="I568" s="194">
        <v>12341.76</v>
      </c>
      <c r="J568" s="75">
        <v>81753.173721494197</v>
      </c>
      <c r="K568" s="73"/>
      <c r="M568" s="72"/>
      <c r="N568" s="54">
        <v>559</v>
      </c>
      <c r="O568" s="70">
        <v>35245.702500000014</v>
      </c>
      <c r="P568" s="75">
        <v>10831</v>
      </c>
      <c r="Q568" s="75">
        <v>79097</v>
      </c>
      <c r="R568" s="194">
        <v>313421.20250000001</v>
      </c>
      <c r="S568" s="194">
        <v>5954.85</v>
      </c>
      <c r="T568" s="70">
        <v>1326.7975000000006</v>
      </c>
      <c r="U568" s="80">
        <v>81753.173721494197</v>
      </c>
      <c r="V568" s="73"/>
      <c r="X568" s="30"/>
      <c r="Y568" s="54">
        <v>559</v>
      </c>
      <c r="Z568" s="70">
        <v>46306.150000000009</v>
      </c>
      <c r="AA568" s="75">
        <v>9428</v>
      </c>
      <c r="AB568" s="75">
        <v>6767.04</v>
      </c>
      <c r="AC568" s="75">
        <v>77820.960000000006</v>
      </c>
      <c r="AD568" s="194">
        <v>325756.2</v>
      </c>
      <c r="AE568" s="194">
        <v>7229.4000000000005</v>
      </c>
      <c r="AF568" s="76">
        <v>0.08</v>
      </c>
      <c r="AG568" s="70">
        <v>3299.8000000000006</v>
      </c>
      <c r="AH568" s="31"/>
    </row>
    <row r="569" spans="3:34" x14ac:dyDescent="0.25">
      <c r="C569" s="72"/>
      <c r="D569" s="54">
        <v>560</v>
      </c>
      <c r="E569" s="70">
        <v>30635.27</v>
      </c>
      <c r="F569" s="75">
        <v>6299</v>
      </c>
      <c r="G569" s="75">
        <v>83629</v>
      </c>
      <c r="H569" s="194">
        <v>314748</v>
      </c>
      <c r="I569" s="194">
        <v>11892.08</v>
      </c>
      <c r="J569" s="75">
        <v>81753.173721494197</v>
      </c>
      <c r="K569" s="73"/>
      <c r="M569" s="72"/>
      <c r="N569" s="54">
        <v>560</v>
      </c>
      <c r="O569" s="70">
        <v>49462.692499999983</v>
      </c>
      <c r="P569" s="75">
        <v>9267</v>
      </c>
      <c r="Q569" s="75">
        <v>84749</v>
      </c>
      <c r="R569" s="194">
        <v>327920.79249999998</v>
      </c>
      <c r="S569" s="194">
        <v>6237.45</v>
      </c>
      <c r="T569" s="70">
        <v>1135.2075000000004</v>
      </c>
      <c r="U569" s="80">
        <v>81753.173721494197</v>
      </c>
      <c r="V569" s="73"/>
      <c r="X569" s="30"/>
      <c r="Y569" s="54">
        <v>560</v>
      </c>
      <c r="Z569" s="70">
        <v>45210.849999999977</v>
      </c>
      <c r="AA569" s="75">
        <v>13079</v>
      </c>
      <c r="AB569" s="75">
        <v>5665.59</v>
      </c>
      <c r="AC569" s="75">
        <v>75271.41</v>
      </c>
      <c r="AD569" s="194">
        <v>324478.34999999998</v>
      </c>
      <c r="AE569" s="194">
        <v>7046.85</v>
      </c>
      <c r="AF569" s="76">
        <v>7.0000000000000007E-2</v>
      </c>
      <c r="AG569" s="70">
        <v>4577.6500000000015</v>
      </c>
      <c r="AH569" s="31"/>
    </row>
    <row r="570" spans="3:34" x14ac:dyDescent="0.25">
      <c r="C570" s="72"/>
      <c r="D570" s="54">
        <v>561</v>
      </c>
      <c r="E570" s="70">
        <v>58351.91</v>
      </c>
      <c r="F570" s="75">
        <v>9671</v>
      </c>
      <c r="G570" s="75">
        <v>88433</v>
      </c>
      <c r="H570" s="194">
        <v>343364</v>
      </c>
      <c r="I570" s="194">
        <v>12791.44</v>
      </c>
      <c r="J570" s="75">
        <v>81753.173721494197</v>
      </c>
      <c r="K570" s="73"/>
      <c r="M570" s="72"/>
      <c r="N570" s="54">
        <v>561</v>
      </c>
      <c r="O570" s="70">
        <v>63455.005000000005</v>
      </c>
      <c r="P570" s="75">
        <v>10802</v>
      </c>
      <c r="Q570" s="75">
        <v>87302</v>
      </c>
      <c r="R570" s="194">
        <v>342040.755</v>
      </c>
      <c r="S570" s="194">
        <v>6365.1</v>
      </c>
      <c r="T570" s="70">
        <v>1323.2450000000006</v>
      </c>
      <c r="U570" s="80">
        <v>81753.173721494197</v>
      </c>
      <c r="V570" s="73"/>
      <c r="X570" s="30"/>
      <c r="Y570" s="54">
        <v>561</v>
      </c>
      <c r="Z570" s="70">
        <v>45194.05</v>
      </c>
      <c r="AA570" s="75">
        <v>13135</v>
      </c>
      <c r="AB570" s="75">
        <v>4852.8599999999997</v>
      </c>
      <c r="AC570" s="75">
        <v>76028.14</v>
      </c>
      <c r="AD570" s="194">
        <v>324458.75</v>
      </c>
      <c r="AE570" s="194">
        <v>7044.05</v>
      </c>
      <c r="AF570" s="76">
        <v>0.06</v>
      </c>
      <c r="AG570" s="70">
        <v>4597.2500000000009</v>
      </c>
      <c r="AH570" s="31"/>
    </row>
    <row r="571" spans="3:34" x14ac:dyDescent="0.25">
      <c r="C571" s="72"/>
      <c r="D571" s="54">
        <v>562</v>
      </c>
      <c r="E571" s="70">
        <v>30635.27</v>
      </c>
      <c r="F571" s="75">
        <v>4427</v>
      </c>
      <c r="G571" s="75">
        <v>85501</v>
      </c>
      <c r="H571" s="194">
        <v>314748</v>
      </c>
      <c r="I571" s="194">
        <v>11892.08</v>
      </c>
      <c r="J571" s="75">
        <v>81753.173721494197</v>
      </c>
      <c r="K571" s="73"/>
      <c r="M571" s="72"/>
      <c r="N571" s="54">
        <v>562</v>
      </c>
      <c r="O571" s="70">
        <v>49453.267499999994</v>
      </c>
      <c r="P571" s="75">
        <v>9397</v>
      </c>
      <c r="Q571" s="75">
        <v>84619</v>
      </c>
      <c r="R571" s="194">
        <v>327904.86749999999</v>
      </c>
      <c r="S571" s="194">
        <v>6230.95</v>
      </c>
      <c r="T571" s="70">
        <v>1151.1325000000004</v>
      </c>
      <c r="U571" s="80">
        <v>81753.173721494197</v>
      </c>
      <c r="V571" s="73"/>
      <c r="X571" s="30"/>
      <c r="Y571" s="54">
        <v>562</v>
      </c>
      <c r="Z571" s="70">
        <v>60311.65</v>
      </c>
      <c r="AA571" s="75">
        <v>9755</v>
      </c>
      <c r="AB571" s="75">
        <v>7067.92</v>
      </c>
      <c r="AC571" s="75">
        <v>81281.08</v>
      </c>
      <c r="AD571" s="194">
        <v>339949.75</v>
      </c>
      <c r="AE571" s="194">
        <v>7417.45</v>
      </c>
      <c r="AF571" s="76">
        <v>0.08</v>
      </c>
      <c r="AG571" s="70">
        <v>3414.2500000000009</v>
      </c>
      <c r="AH571" s="31"/>
    </row>
    <row r="572" spans="3:34" x14ac:dyDescent="0.25">
      <c r="C572" s="72"/>
      <c r="D572" s="54">
        <v>563</v>
      </c>
      <c r="E572" s="70">
        <v>44493.59</v>
      </c>
      <c r="F572" s="75">
        <v>8342</v>
      </c>
      <c r="G572" s="75">
        <v>85674</v>
      </c>
      <c r="H572" s="194">
        <v>329056</v>
      </c>
      <c r="I572" s="194">
        <v>12341.76</v>
      </c>
      <c r="J572" s="75">
        <v>81753.173721494197</v>
      </c>
      <c r="K572" s="73"/>
      <c r="M572" s="72"/>
      <c r="N572" s="54">
        <v>563</v>
      </c>
      <c r="O572" s="70">
        <v>63388.522499999985</v>
      </c>
      <c r="P572" s="75">
        <v>11719</v>
      </c>
      <c r="Q572" s="75">
        <v>86385</v>
      </c>
      <c r="R572" s="194">
        <v>341928.42249999999</v>
      </c>
      <c r="S572" s="194">
        <v>6319.25</v>
      </c>
      <c r="T572" s="70">
        <v>1435.5775000000006</v>
      </c>
      <c r="U572" s="80">
        <v>81753.173721494197</v>
      </c>
      <c r="V572" s="73"/>
      <c r="X572" s="30"/>
      <c r="Y572" s="54">
        <v>563</v>
      </c>
      <c r="Z572" s="70">
        <v>59991.250000000015</v>
      </c>
      <c r="AA572" s="75">
        <v>10823</v>
      </c>
      <c r="AB572" s="75">
        <v>6109.670000000001</v>
      </c>
      <c r="AC572" s="75">
        <v>81171.33</v>
      </c>
      <c r="AD572" s="194">
        <v>339575.95</v>
      </c>
      <c r="AE572" s="194">
        <v>7364.05</v>
      </c>
      <c r="AF572" s="76">
        <v>7.0000000000000007E-2</v>
      </c>
      <c r="AG572" s="70">
        <v>3788.0500000000011</v>
      </c>
      <c r="AH572" s="31"/>
    </row>
    <row r="573" spans="3:34" x14ac:dyDescent="0.25">
      <c r="C573" s="72"/>
      <c r="D573" s="54">
        <v>564</v>
      </c>
      <c r="E573" s="70">
        <v>58351.91</v>
      </c>
      <c r="F573" s="75">
        <v>7814</v>
      </c>
      <c r="G573" s="75">
        <v>90290</v>
      </c>
      <c r="H573" s="194">
        <v>343364</v>
      </c>
      <c r="I573" s="194">
        <v>12791.44</v>
      </c>
      <c r="J573" s="75">
        <v>81753.173721494197</v>
      </c>
      <c r="K573" s="73"/>
      <c r="M573" s="72"/>
      <c r="N573" s="54">
        <v>564</v>
      </c>
      <c r="O573" s="70">
        <v>35231.492500000008</v>
      </c>
      <c r="P573" s="75">
        <v>11027</v>
      </c>
      <c r="Q573" s="75">
        <v>78901</v>
      </c>
      <c r="R573" s="194">
        <v>313397.1925</v>
      </c>
      <c r="S573" s="194">
        <v>5945.05</v>
      </c>
      <c r="T573" s="70">
        <v>1350.8075000000006</v>
      </c>
      <c r="U573" s="80">
        <v>81753.173721494197</v>
      </c>
      <c r="V573" s="73"/>
      <c r="X573" s="30"/>
      <c r="Y573" s="54">
        <v>564</v>
      </c>
      <c r="Z573" s="70">
        <v>31522.150000000023</v>
      </c>
      <c r="AA573" s="75">
        <v>11696</v>
      </c>
      <c r="AB573" s="75">
        <v>7823.2000000000007</v>
      </c>
      <c r="AC573" s="75">
        <v>70408.800000000003</v>
      </c>
      <c r="AD573" s="194">
        <v>310654.40000000002</v>
      </c>
      <c r="AE573" s="194">
        <v>6911.6</v>
      </c>
      <c r="AF573" s="76">
        <v>0.1</v>
      </c>
      <c r="AG573" s="70">
        <v>4093.6000000000008</v>
      </c>
      <c r="AH573" s="31"/>
    </row>
    <row r="574" spans="3:34" x14ac:dyDescent="0.25">
      <c r="C574" s="72"/>
      <c r="D574" s="54">
        <v>565</v>
      </c>
      <c r="E574" s="70">
        <v>44493.59</v>
      </c>
      <c r="F574" s="75">
        <v>6612</v>
      </c>
      <c r="G574" s="75">
        <v>87404</v>
      </c>
      <c r="H574" s="194">
        <v>329056</v>
      </c>
      <c r="I574" s="194">
        <v>12341.76</v>
      </c>
      <c r="J574" s="75">
        <v>81753.173721494197</v>
      </c>
      <c r="K574" s="73"/>
      <c r="M574" s="72"/>
      <c r="N574" s="54">
        <v>565</v>
      </c>
      <c r="O574" s="70">
        <v>63453.627499999988</v>
      </c>
      <c r="P574" s="75">
        <v>10821</v>
      </c>
      <c r="Q574" s="75">
        <v>87283</v>
      </c>
      <c r="R574" s="194">
        <v>342038.42749999999</v>
      </c>
      <c r="S574" s="194">
        <v>6364.1500000000005</v>
      </c>
      <c r="T574" s="70">
        <v>1325.5725000000007</v>
      </c>
      <c r="U574" s="80">
        <v>81753.173721494197</v>
      </c>
      <c r="V574" s="73"/>
      <c r="X574" s="30"/>
      <c r="Y574" s="54">
        <v>565</v>
      </c>
      <c r="Z574" s="70">
        <v>46311.849999999977</v>
      </c>
      <c r="AA574" s="75">
        <v>9409</v>
      </c>
      <c r="AB574" s="75">
        <v>4230.3500000000004</v>
      </c>
      <c r="AC574" s="75">
        <v>80376.649999999994</v>
      </c>
      <c r="AD574" s="194">
        <v>325762.84999999998</v>
      </c>
      <c r="AE574" s="194">
        <v>7230.35</v>
      </c>
      <c r="AF574" s="76">
        <v>0.05</v>
      </c>
      <c r="AG574" s="70">
        <v>3293.150000000001</v>
      </c>
      <c r="AH574" s="31"/>
    </row>
    <row r="575" spans="3:34" x14ac:dyDescent="0.25">
      <c r="C575" s="72"/>
      <c r="D575" s="54">
        <v>566</v>
      </c>
      <c r="E575" s="70">
        <v>30635.27</v>
      </c>
      <c r="F575" s="75">
        <v>5438</v>
      </c>
      <c r="G575" s="75">
        <v>84490</v>
      </c>
      <c r="H575" s="194">
        <v>314748</v>
      </c>
      <c r="I575" s="194">
        <v>11892.08</v>
      </c>
      <c r="J575" s="75">
        <v>81753.173721494197</v>
      </c>
      <c r="K575" s="73"/>
      <c r="M575" s="72"/>
      <c r="N575" s="54">
        <v>566</v>
      </c>
      <c r="O575" s="70">
        <v>49329.220000000016</v>
      </c>
      <c r="P575" s="75">
        <v>11108</v>
      </c>
      <c r="Q575" s="75">
        <v>82908</v>
      </c>
      <c r="R575" s="194">
        <v>327695.27</v>
      </c>
      <c r="S575" s="194">
        <v>6145.4000000000005</v>
      </c>
      <c r="T575" s="70">
        <v>1360.7300000000007</v>
      </c>
      <c r="U575" s="80">
        <v>81753.173721494197</v>
      </c>
      <c r="V575" s="73"/>
      <c r="X575" s="30"/>
      <c r="Y575" s="54">
        <v>566</v>
      </c>
      <c r="Z575" s="70">
        <v>87990.399999999994</v>
      </c>
      <c r="AA575" s="75">
        <v>11505</v>
      </c>
      <c r="AB575" s="75">
        <v>4738.7</v>
      </c>
      <c r="AC575" s="75">
        <v>90035.3</v>
      </c>
      <c r="AD575" s="194">
        <v>367949.75</v>
      </c>
      <c r="AE575" s="194">
        <v>7738.7</v>
      </c>
      <c r="AF575" s="76">
        <v>0.05</v>
      </c>
      <c r="AG575" s="70">
        <v>4026.7500000000009</v>
      </c>
      <c r="AH575" s="31"/>
    </row>
    <row r="576" spans="3:34" x14ac:dyDescent="0.25">
      <c r="C576" s="72"/>
      <c r="D576" s="54">
        <v>567</v>
      </c>
      <c r="E576" s="70">
        <v>44493.59</v>
      </c>
      <c r="F576" s="75">
        <v>4725</v>
      </c>
      <c r="G576" s="75">
        <v>89291</v>
      </c>
      <c r="H576" s="194">
        <v>329056</v>
      </c>
      <c r="I576" s="194">
        <v>12341.76</v>
      </c>
      <c r="J576" s="75">
        <v>81753.173721494197</v>
      </c>
      <c r="K576" s="73"/>
      <c r="M576" s="72"/>
      <c r="N576" s="54">
        <v>567</v>
      </c>
      <c r="O576" s="70">
        <v>35107.009999999987</v>
      </c>
      <c r="P576" s="75">
        <v>12744</v>
      </c>
      <c r="Q576" s="75">
        <v>77184</v>
      </c>
      <c r="R576" s="194">
        <v>313186.86</v>
      </c>
      <c r="S576" s="194">
        <v>5859.2000000000007</v>
      </c>
      <c r="T576" s="70">
        <v>1561.1400000000008</v>
      </c>
      <c r="U576" s="80">
        <v>81753.173721494197</v>
      </c>
      <c r="V576" s="73"/>
      <c r="X576" s="30"/>
      <c r="Y576" s="54">
        <v>567</v>
      </c>
      <c r="Z576" s="70">
        <v>87949.299999999988</v>
      </c>
      <c r="AA576" s="75">
        <v>11642</v>
      </c>
      <c r="AB576" s="75">
        <v>9463.7000000000007</v>
      </c>
      <c r="AC576" s="75">
        <v>85173.3</v>
      </c>
      <c r="AD576" s="194">
        <v>367901.8</v>
      </c>
      <c r="AE576" s="194">
        <v>7731.85</v>
      </c>
      <c r="AF576" s="76">
        <v>0.1</v>
      </c>
      <c r="AG576" s="70">
        <v>4074.7000000000012</v>
      </c>
      <c r="AH576" s="31"/>
    </row>
    <row r="577" spans="3:34" x14ac:dyDescent="0.25">
      <c r="C577" s="72"/>
      <c r="D577" s="54">
        <v>568</v>
      </c>
      <c r="E577" s="70">
        <v>44493.59</v>
      </c>
      <c r="F577" s="75">
        <v>5550</v>
      </c>
      <c r="G577" s="75">
        <v>88466</v>
      </c>
      <c r="H577" s="194">
        <v>329056</v>
      </c>
      <c r="I577" s="194">
        <v>12341.76</v>
      </c>
      <c r="J577" s="75">
        <v>81753.173721494197</v>
      </c>
      <c r="K577" s="73"/>
      <c r="M577" s="72"/>
      <c r="N577" s="54">
        <v>568</v>
      </c>
      <c r="O577" s="70">
        <v>63248.162500000013</v>
      </c>
      <c r="P577" s="75">
        <v>13655</v>
      </c>
      <c r="Q577" s="75">
        <v>84449</v>
      </c>
      <c r="R577" s="194">
        <v>341691.26250000001</v>
      </c>
      <c r="S577" s="194">
        <v>6222.45</v>
      </c>
      <c r="T577" s="70">
        <v>1672.7375000000006</v>
      </c>
      <c r="U577" s="80">
        <v>81753.173721494197</v>
      </c>
      <c r="V577" s="73"/>
      <c r="X577" s="30"/>
      <c r="Y577" s="54">
        <v>568</v>
      </c>
      <c r="Z577" s="70">
        <v>59127.549999999988</v>
      </c>
      <c r="AA577" s="75">
        <v>13702</v>
      </c>
      <c r="AB577" s="75">
        <v>8440.2000000000007</v>
      </c>
      <c r="AC577" s="75">
        <v>75961.8</v>
      </c>
      <c r="AD577" s="194">
        <v>338568.3</v>
      </c>
      <c r="AE577" s="194">
        <v>7220.1</v>
      </c>
      <c r="AF577" s="76">
        <v>0.1</v>
      </c>
      <c r="AG577" s="70">
        <v>4795.7000000000016</v>
      </c>
      <c r="AH577" s="31"/>
    </row>
    <row r="578" spans="3:34" x14ac:dyDescent="0.25">
      <c r="C578" s="72"/>
      <c r="D578" s="54">
        <v>569</v>
      </c>
      <c r="E578" s="70">
        <v>44493.59</v>
      </c>
      <c r="F578" s="75">
        <v>8479</v>
      </c>
      <c r="G578" s="75">
        <v>85537</v>
      </c>
      <c r="H578" s="194">
        <v>329056</v>
      </c>
      <c r="I578" s="194">
        <v>12341.76</v>
      </c>
      <c r="J578" s="75">
        <v>81753.173721494197</v>
      </c>
      <c r="K578" s="73"/>
      <c r="M578" s="72"/>
      <c r="N578" s="54">
        <v>569</v>
      </c>
      <c r="O578" s="70">
        <v>49375.257499999992</v>
      </c>
      <c r="P578" s="75">
        <v>10473</v>
      </c>
      <c r="Q578" s="75">
        <v>83543</v>
      </c>
      <c r="R578" s="194">
        <v>327773.0575</v>
      </c>
      <c r="S578" s="194">
        <v>6177.1500000000005</v>
      </c>
      <c r="T578" s="70">
        <v>1282.9425000000006</v>
      </c>
      <c r="U578" s="80">
        <v>81753.173721494197</v>
      </c>
      <c r="V578" s="73"/>
      <c r="X578" s="30"/>
      <c r="Y578" s="54">
        <v>569</v>
      </c>
      <c r="Z578" s="70">
        <v>87957.699999999983</v>
      </c>
      <c r="AA578" s="75">
        <v>11614</v>
      </c>
      <c r="AB578" s="75">
        <v>4733.25</v>
      </c>
      <c r="AC578" s="75">
        <v>89931.75</v>
      </c>
      <c r="AD578" s="194">
        <v>367911.6</v>
      </c>
      <c r="AE578" s="194">
        <v>7733.25</v>
      </c>
      <c r="AF578" s="76">
        <v>0.05</v>
      </c>
      <c r="AG578" s="70">
        <v>4064.900000000001</v>
      </c>
      <c r="AH578" s="31"/>
    </row>
    <row r="579" spans="3:34" x14ac:dyDescent="0.25">
      <c r="C579" s="72"/>
      <c r="D579" s="54">
        <v>570</v>
      </c>
      <c r="E579" s="70">
        <v>30635.27</v>
      </c>
      <c r="F579" s="75">
        <v>9073</v>
      </c>
      <c r="G579" s="75">
        <v>80855</v>
      </c>
      <c r="H579" s="194">
        <v>314748</v>
      </c>
      <c r="I579" s="194">
        <v>11892.08</v>
      </c>
      <c r="J579" s="75">
        <v>81753.173721494197</v>
      </c>
      <c r="K579" s="73"/>
      <c r="M579" s="72"/>
      <c r="N579" s="54">
        <v>570</v>
      </c>
      <c r="O579" s="70">
        <v>63313.630000000005</v>
      </c>
      <c r="P579" s="75">
        <v>12752</v>
      </c>
      <c r="Q579" s="75">
        <v>85352</v>
      </c>
      <c r="R579" s="194">
        <v>341801.88</v>
      </c>
      <c r="S579" s="194">
        <v>6267.6</v>
      </c>
      <c r="T579" s="70">
        <v>1562.1200000000006</v>
      </c>
      <c r="U579" s="80">
        <v>81753.173721494197</v>
      </c>
      <c r="V579" s="73"/>
      <c r="X579" s="30"/>
      <c r="Y579" s="54">
        <v>570</v>
      </c>
      <c r="Z579" s="70">
        <v>45466.44999999999</v>
      </c>
      <c r="AA579" s="75">
        <v>12227</v>
      </c>
      <c r="AB579" s="75">
        <v>7361.0099999999993</v>
      </c>
      <c r="AC579" s="75">
        <v>74427.990000000005</v>
      </c>
      <c r="AD579" s="194">
        <v>324776.55</v>
      </c>
      <c r="AE579" s="194">
        <v>7089.4500000000007</v>
      </c>
      <c r="AF579" s="76">
        <v>0.09</v>
      </c>
      <c r="AG579" s="70">
        <v>4279.4500000000007</v>
      </c>
      <c r="AH579" s="31"/>
    </row>
    <row r="580" spans="3:34" x14ac:dyDescent="0.25">
      <c r="C580" s="72"/>
      <c r="D580" s="54">
        <v>571</v>
      </c>
      <c r="E580" s="70">
        <v>30635.27</v>
      </c>
      <c r="F580" s="75">
        <v>4588</v>
      </c>
      <c r="G580" s="75">
        <v>85340</v>
      </c>
      <c r="H580" s="194">
        <v>314748</v>
      </c>
      <c r="I580" s="194">
        <v>11892.08</v>
      </c>
      <c r="J580" s="75">
        <v>81753.173721494197</v>
      </c>
      <c r="K580" s="73"/>
      <c r="M580" s="72"/>
      <c r="N580" s="54">
        <v>571</v>
      </c>
      <c r="O580" s="70">
        <v>91367.739999999976</v>
      </c>
      <c r="P580" s="75">
        <v>14816</v>
      </c>
      <c r="Q580" s="75">
        <v>91463</v>
      </c>
      <c r="R580" s="194">
        <v>370161.54</v>
      </c>
      <c r="S580" s="194">
        <v>6573.1500000000005</v>
      </c>
      <c r="T580" s="70">
        <v>1814.9600000000007</v>
      </c>
      <c r="U580" s="80">
        <v>81753.173721494197</v>
      </c>
      <c r="V580" s="73"/>
      <c r="X580" s="30"/>
      <c r="Y580" s="54">
        <v>571</v>
      </c>
      <c r="Z580" s="70">
        <v>30947.349999999988</v>
      </c>
      <c r="AA580" s="75">
        <v>13612</v>
      </c>
      <c r="AB580" s="75">
        <v>3815.8</v>
      </c>
      <c r="AC580" s="75">
        <v>72500.2</v>
      </c>
      <c r="AD580" s="194">
        <v>309983.8</v>
      </c>
      <c r="AE580" s="194">
        <v>6815.8</v>
      </c>
      <c r="AF580" s="76">
        <v>0.05</v>
      </c>
      <c r="AG580" s="70">
        <v>4764.2000000000016</v>
      </c>
      <c r="AH580" s="31"/>
    </row>
    <row r="581" spans="3:34" x14ac:dyDescent="0.25">
      <c r="C581" s="72"/>
      <c r="D581" s="54">
        <v>572</v>
      </c>
      <c r="E581" s="70">
        <v>44493.59</v>
      </c>
      <c r="F581" s="75">
        <v>8371</v>
      </c>
      <c r="G581" s="75">
        <v>85645</v>
      </c>
      <c r="H581" s="194">
        <v>329056</v>
      </c>
      <c r="I581" s="194">
        <v>12341.76</v>
      </c>
      <c r="J581" s="75">
        <v>81753.173721494197</v>
      </c>
      <c r="K581" s="73"/>
      <c r="M581" s="72"/>
      <c r="N581" s="54">
        <v>572</v>
      </c>
      <c r="O581" s="70">
        <v>49181.319999999992</v>
      </c>
      <c r="P581" s="75">
        <v>13148</v>
      </c>
      <c r="Q581" s="75">
        <v>80868</v>
      </c>
      <c r="R581" s="194">
        <v>327445.37</v>
      </c>
      <c r="S581" s="194">
        <v>6043.4</v>
      </c>
      <c r="T581" s="70">
        <v>1610.6300000000008</v>
      </c>
      <c r="U581" s="80">
        <v>81753.173721494197</v>
      </c>
      <c r="V581" s="73"/>
      <c r="X581" s="30"/>
      <c r="Y581" s="54">
        <v>572</v>
      </c>
      <c r="Z581" s="70">
        <v>59684.049999999988</v>
      </c>
      <c r="AA581" s="75">
        <v>11847</v>
      </c>
      <c r="AB581" s="75">
        <v>8625.7000000000007</v>
      </c>
      <c r="AC581" s="75">
        <v>77631.3</v>
      </c>
      <c r="AD581" s="194">
        <v>339217.55</v>
      </c>
      <c r="AE581" s="194">
        <v>7312.85</v>
      </c>
      <c r="AF581" s="76">
        <v>0.1</v>
      </c>
      <c r="AG581" s="70">
        <v>4146.4500000000007</v>
      </c>
      <c r="AH581" s="31"/>
    </row>
    <row r="582" spans="3:34" x14ac:dyDescent="0.25">
      <c r="C582" s="72"/>
      <c r="D582" s="54">
        <v>573</v>
      </c>
      <c r="E582" s="70">
        <v>44493.59</v>
      </c>
      <c r="F582" s="75">
        <v>5663</v>
      </c>
      <c r="G582" s="75">
        <v>88353</v>
      </c>
      <c r="H582" s="194">
        <v>329056</v>
      </c>
      <c r="I582" s="194">
        <v>12341.76</v>
      </c>
      <c r="J582" s="75">
        <v>81753.173721494197</v>
      </c>
      <c r="K582" s="73"/>
      <c r="M582" s="72"/>
      <c r="N582" s="54">
        <v>573</v>
      </c>
      <c r="O582" s="70">
        <v>35181.684999999976</v>
      </c>
      <c r="P582" s="75">
        <v>11714</v>
      </c>
      <c r="Q582" s="75">
        <v>78214</v>
      </c>
      <c r="R582" s="194">
        <v>313313.03499999997</v>
      </c>
      <c r="S582" s="194">
        <v>5910.7000000000007</v>
      </c>
      <c r="T582" s="70">
        <v>1434.9650000000006</v>
      </c>
      <c r="U582" s="80">
        <v>81753.173721494197</v>
      </c>
      <c r="V582" s="73"/>
      <c r="X582" s="30"/>
      <c r="Y582" s="54">
        <v>573</v>
      </c>
      <c r="Z582" s="70">
        <v>46318.750000000022</v>
      </c>
      <c r="AA582" s="75">
        <v>9386</v>
      </c>
      <c r="AB582" s="75">
        <v>6770.4000000000005</v>
      </c>
      <c r="AC582" s="75">
        <v>77859.600000000006</v>
      </c>
      <c r="AD582" s="194">
        <v>325770.90000000002</v>
      </c>
      <c r="AE582" s="194">
        <v>7231.5</v>
      </c>
      <c r="AF582" s="76">
        <v>0.08</v>
      </c>
      <c r="AG582" s="70">
        <v>3285.1000000000008</v>
      </c>
      <c r="AH582" s="31"/>
    </row>
    <row r="583" spans="3:34" x14ac:dyDescent="0.25">
      <c r="C583" s="72"/>
      <c r="D583" s="54">
        <v>574</v>
      </c>
      <c r="E583" s="70">
        <v>58351.91</v>
      </c>
      <c r="F583" s="75">
        <v>8866</v>
      </c>
      <c r="G583" s="75">
        <v>89238</v>
      </c>
      <c r="H583" s="194">
        <v>343364</v>
      </c>
      <c r="I583" s="194">
        <v>12791.44</v>
      </c>
      <c r="J583" s="75">
        <v>81753.173721494197</v>
      </c>
      <c r="K583" s="73"/>
      <c r="M583" s="72"/>
      <c r="N583" s="54">
        <v>574</v>
      </c>
      <c r="O583" s="70">
        <v>63387.362500000025</v>
      </c>
      <c r="P583" s="75">
        <v>11735</v>
      </c>
      <c r="Q583" s="75">
        <v>86369</v>
      </c>
      <c r="R583" s="194">
        <v>341926.46250000002</v>
      </c>
      <c r="S583" s="194">
        <v>6318.45</v>
      </c>
      <c r="T583" s="70">
        <v>1437.5375000000006</v>
      </c>
      <c r="U583" s="80">
        <v>81753.173721494197</v>
      </c>
      <c r="V583" s="73"/>
      <c r="X583" s="30"/>
      <c r="Y583" s="54">
        <v>574</v>
      </c>
      <c r="Z583" s="70">
        <v>88285.000000000015</v>
      </c>
      <c r="AA583" s="75">
        <v>10523</v>
      </c>
      <c r="AB583" s="75">
        <v>9575.6</v>
      </c>
      <c r="AC583" s="75">
        <v>86180.4</v>
      </c>
      <c r="AD583" s="194">
        <v>368293.45</v>
      </c>
      <c r="AE583" s="194">
        <v>7787.8</v>
      </c>
      <c r="AF583" s="76">
        <v>0.1</v>
      </c>
      <c r="AG583" s="70">
        <v>3683.0500000000011</v>
      </c>
      <c r="AH583" s="31"/>
    </row>
    <row r="584" spans="3:34" x14ac:dyDescent="0.25">
      <c r="C584" s="72"/>
      <c r="D584" s="54">
        <v>575</v>
      </c>
      <c r="E584" s="70">
        <v>30635.27</v>
      </c>
      <c r="F584" s="75">
        <v>8172</v>
      </c>
      <c r="G584" s="75">
        <v>81756</v>
      </c>
      <c r="H584" s="194">
        <v>314748</v>
      </c>
      <c r="I584" s="194">
        <v>11892.08</v>
      </c>
      <c r="J584" s="75">
        <v>81753.173721494197</v>
      </c>
      <c r="K584" s="73"/>
      <c r="M584" s="72"/>
      <c r="N584" s="54">
        <v>575</v>
      </c>
      <c r="O584" s="70">
        <v>63391.49500000001</v>
      </c>
      <c r="P584" s="75">
        <v>11678</v>
      </c>
      <c r="Q584" s="75">
        <v>86426</v>
      </c>
      <c r="R584" s="194">
        <v>341933.44500000001</v>
      </c>
      <c r="S584" s="194">
        <v>6321.3</v>
      </c>
      <c r="T584" s="70">
        <v>1430.5550000000005</v>
      </c>
      <c r="U584" s="80">
        <v>81753.173721494197</v>
      </c>
      <c r="V584" s="73"/>
      <c r="X584" s="30"/>
      <c r="Y584" s="54">
        <v>575</v>
      </c>
      <c r="Z584" s="70">
        <v>31036.45</v>
      </c>
      <c r="AA584" s="75">
        <v>13315</v>
      </c>
      <c r="AB584" s="75">
        <v>6129.04</v>
      </c>
      <c r="AC584" s="75">
        <v>70483.960000000006</v>
      </c>
      <c r="AD584" s="194">
        <v>310087.75</v>
      </c>
      <c r="AE584" s="194">
        <v>6830.65</v>
      </c>
      <c r="AF584" s="76">
        <v>0.08</v>
      </c>
      <c r="AG584" s="70">
        <v>4660.2500000000009</v>
      </c>
      <c r="AH584" s="31"/>
    </row>
    <row r="585" spans="3:34" x14ac:dyDescent="0.25">
      <c r="C585" s="72"/>
      <c r="D585" s="54">
        <v>576</v>
      </c>
      <c r="E585" s="70">
        <v>86065.16</v>
      </c>
      <c r="F585" s="75">
        <v>9705</v>
      </c>
      <c r="G585" s="75">
        <v>96574</v>
      </c>
      <c r="H585" s="194">
        <v>371976.5</v>
      </c>
      <c r="I585" s="194">
        <v>13690.69</v>
      </c>
      <c r="J585" s="75">
        <v>81753.173721494197</v>
      </c>
      <c r="K585" s="73"/>
      <c r="M585" s="72"/>
      <c r="N585" s="54">
        <v>576</v>
      </c>
      <c r="O585" s="70">
        <v>63534.102499999964</v>
      </c>
      <c r="P585" s="75">
        <v>9711</v>
      </c>
      <c r="Q585" s="75">
        <v>88393</v>
      </c>
      <c r="R585" s="194">
        <v>342174.40249999997</v>
      </c>
      <c r="S585" s="194">
        <v>6419.6500000000005</v>
      </c>
      <c r="T585" s="70">
        <v>1189.5975000000005</v>
      </c>
      <c r="U585" s="80">
        <v>81753.173721494197</v>
      </c>
      <c r="V585" s="73"/>
      <c r="X585" s="30"/>
      <c r="Y585" s="54">
        <v>576</v>
      </c>
      <c r="Z585" s="70">
        <v>59152.750000000015</v>
      </c>
      <c r="AA585" s="75">
        <v>13618</v>
      </c>
      <c r="AB585" s="75">
        <v>4224.3</v>
      </c>
      <c r="AC585" s="75">
        <v>80261.7</v>
      </c>
      <c r="AD585" s="194">
        <v>338597.7</v>
      </c>
      <c r="AE585" s="194">
        <v>7224.3</v>
      </c>
      <c r="AF585" s="76">
        <v>0.05</v>
      </c>
      <c r="AG585" s="70">
        <v>4766.3000000000011</v>
      </c>
      <c r="AH585" s="31"/>
    </row>
    <row r="586" spans="3:34" x14ac:dyDescent="0.25">
      <c r="C586" s="72"/>
      <c r="D586" s="54">
        <v>577</v>
      </c>
      <c r="E586" s="70">
        <v>44493.59</v>
      </c>
      <c r="F586" s="75">
        <v>8358</v>
      </c>
      <c r="G586" s="75">
        <v>85658</v>
      </c>
      <c r="H586" s="194">
        <v>329056</v>
      </c>
      <c r="I586" s="194">
        <v>12341.76</v>
      </c>
      <c r="J586" s="75">
        <v>81753.173721494197</v>
      </c>
      <c r="K586" s="73"/>
      <c r="M586" s="72"/>
      <c r="N586" s="54">
        <v>577</v>
      </c>
      <c r="O586" s="70">
        <v>63449.422500000008</v>
      </c>
      <c r="P586" s="75">
        <v>10879</v>
      </c>
      <c r="Q586" s="75">
        <v>87225</v>
      </c>
      <c r="R586" s="194">
        <v>342031.32250000001</v>
      </c>
      <c r="S586" s="194">
        <v>6361.25</v>
      </c>
      <c r="T586" s="70">
        <v>1332.6775000000007</v>
      </c>
      <c r="U586" s="80">
        <v>81753.173721494197</v>
      </c>
      <c r="V586" s="73"/>
      <c r="X586" s="30"/>
      <c r="Y586" s="54">
        <v>577</v>
      </c>
      <c r="Z586" s="70">
        <v>46254.849999999977</v>
      </c>
      <c r="AA586" s="75">
        <v>9599</v>
      </c>
      <c r="AB586" s="75">
        <v>8441.7000000000007</v>
      </c>
      <c r="AC586" s="75">
        <v>75975.3</v>
      </c>
      <c r="AD586" s="194">
        <v>325696.34999999998</v>
      </c>
      <c r="AE586" s="194">
        <v>7220.85</v>
      </c>
      <c r="AF586" s="76">
        <v>0.1</v>
      </c>
      <c r="AG586" s="70">
        <v>3359.650000000001</v>
      </c>
      <c r="AH586" s="31"/>
    </row>
    <row r="587" spans="3:34" x14ac:dyDescent="0.25">
      <c r="C587" s="72"/>
      <c r="D587" s="54">
        <v>578</v>
      </c>
      <c r="E587" s="70">
        <v>44493.59</v>
      </c>
      <c r="F587" s="75">
        <v>6557</v>
      </c>
      <c r="G587" s="75">
        <v>87459</v>
      </c>
      <c r="H587" s="194">
        <v>329056</v>
      </c>
      <c r="I587" s="194">
        <v>12341.76</v>
      </c>
      <c r="J587" s="75">
        <v>81753.173721494197</v>
      </c>
      <c r="K587" s="73"/>
      <c r="M587" s="72"/>
      <c r="N587" s="54">
        <v>578</v>
      </c>
      <c r="O587" s="70">
        <v>49317.329999999994</v>
      </c>
      <c r="P587" s="75">
        <v>11272</v>
      </c>
      <c r="Q587" s="75">
        <v>82744</v>
      </c>
      <c r="R587" s="194">
        <v>327675.18</v>
      </c>
      <c r="S587" s="194">
        <v>6137.2</v>
      </c>
      <c r="T587" s="70">
        <v>1380.8200000000006</v>
      </c>
      <c r="U587" s="80">
        <v>81753.173721494197</v>
      </c>
      <c r="V587" s="73"/>
      <c r="X587" s="30"/>
      <c r="Y587" s="54">
        <v>578</v>
      </c>
      <c r="Z587" s="70">
        <v>60283.449999999975</v>
      </c>
      <c r="AA587" s="75">
        <v>9849</v>
      </c>
      <c r="AB587" s="75">
        <v>4412.75</v>
      </c>
      <c r="AC587" s="75">
        <v>83842.25</v>
      </c>
      <c r="AD587" s="194">
        <v>339916.85</v>
      </c>
      <c r="AE587" s="194">
        <v>7412.75</v>
      </c>
      <c r="AF587" s="76">
        <v>0.05</v>
      </c>
      <c r="AG587" s="70">
        <v>3447.150000000001</v>
      </c>
      <c r="AH587" s="31"/>
    </row>
    <row r="588" spans="3:34" x14ac:dyDescent="0.25">
      <c r="C588" s="72"/>
      <c r="D588" s="54">
        <v>579</v>
      </c>
      <c r="E588" s="70">
        <v>30635.27</v>
      </c>
      <c r="F588" s="75">
        <v>7167</v>
      </c>
      <c r="G588" s="75">
        <v>82761</v>
      </c>
      <c r="H588" s="194">
        <v>314748</v>
      </c>
      <c r="I588" s="194">
        <v>11892.08</v>
      </c>
      <c r="J588" s="75">
        <v>81753.173721494197</v>
      </c>
      <c r="K588" s="73"/>
      <c r="M588" s="72"/>
      <c r="N588" s="54">
        <v>579</v>
      </c>
      <c r="O588" s="70">
        <v>63245.769999999975</v>
      </c>
      <c r="P588" s="75">
        <v>13688</v>
      </c>
      <c r="Q588" s="75">
        <v>84416</v>
      </c>
      <c r="R588" s="194">
        <v>341687.22</v>
      </c>
      <c r="S588" s="194">
        <v>6220.8</v>
      </c>
      <c r="T588" s="70">
        <v>1676.7800000000007</v>
      </c>
      <c r="U588" s="80">
        <v>81753.173721494197</v>
      </c>
      <c r="V588" s="73"/>
      <c r="X588" s="30"/>
      <c r="Y588" s="54">
        <v>579</v>
      </c>
      <c r="Z588" s="70">
        <v>44840.05</v>
      </c>
      <c r="AA588" s="75">
        <v>14315</v>
      </c>
      <c r="AB588" s="75">
        <v>6376.08</v>
      </c>
      <c r="AC588" s="75">
        <v>73324.92</v>
      </c>
      <c r="AD588" s="194">
        <v>324045.75</v>
      </c>
      <c r="AE588" s="194">
        <v>6985.05</v>
      </c>
      <c r="AF588" s="76">
        <v>0.08</v>
      </c>
      <c r="AG588" s="70">
        <v>5010.2500000000009</v>
      </c>
      <c r="AH588" s="31"/>
    </row>
    <row r="589" spans="3:34" x14ac:dyDescent="0.25">
      <c r="C589" s="72"/>
      <c r="D589" s="54">
        <v>580</v>
      </c>
      <c r="E589" s="70">
        <v>86065.16</v>
      </c>
      <c r="F589" s="75">
        <v>6459</v>
      </c>
      <c r="G589" s="75">
        <v>99820</v>
      </c>
      <c r="H589" s="194">
        <v>371976.5</v>
      </c>
      <c r="I589" s="194">
        <v>13690.69</v>
      </c>
      <c r="J589" s="75">
        <v>81753.173721494197</v>
      </c>
      <c r="K589" s="73"/>
      <c r="M589" s="72"/>
      <c r="N589" s="54">
        <v>580</v>
      </c>
      <c r="O589" s="70">
        <v>35117.015000000014</v>
      </c>
      <c r="P589" s="75">
        <v>12606</v>
      </c>
      <c r="Q589" s="75">
        <v>77322</v>
      </c>
      <c r="R589" s="194">
        <v>313203.76500000001</v>
      </c>
      <c r="S589" s="194">
        <v>5866.1</v>
      </c>
      <c r="T589" s="70">
        <v>1544.2350000000006</v>
      </c>
      <c r="U589" s="80">
        <v>81753.173721494197</v>
      </c>
      <c r="V589" s="73"/>
      <c r="X589" s="30"/>
      <c r="Y589" s="54">
        <v>580</v>
      </c>
      <c r="Z589" s="70">
        <v>59112.250000000015</v>
      </c>
      <c r="AA589" s="75">
        <v>13753</v>
      </c>
      <c r="AB589" s="75">
        <v>5061.0599999999995</v>
      </c>
      <c r="AC589" s="75">
        <v>79289.94</v>
      </c>
      <c r="AD589" s="194">
        <v>338550.45</v>
      </c>
      <c r="AE589" s="194">
        <v>7217.55</v>
      </c>
      <c r="AF589" s="76">
        <v>0.06</v>
      </c>
      <c r="AG589" s="70">
        <v>4813.5500000000011</v>
      </c>
      <c r="AH589" s="31"/>
    </row>
    <row r="590" spans="3:34" x14ac:dyDescent="0.25">
      <c r="C590" s="72"/>
      <c r="D590" s="54">
        <v>581</v>
      </c>
      <c r="E590" s="70">
        <v>58351.91</v>
      </c>
      <c r="F590" s="75">
        <v>8861</v>
      </c>
      <c r="G590" s="75">
        <v>89243</v>
      </c>
      <c r="H590" s="194">
        <v>343364</v>
      </c>
      <c r="I590" s="194">
        <v>12791.44</v>
      </c>
      <c r="J590" s="75">
        <v>81753.173721494197</v>
      </c>
      <c r="K590" s="73"/>
      <c r="M590" s="72"/>
      <c r="N590" s="54">
        <v>581</v>
      </c>
      <c r="O590" s="70">
        <v>35261.942500000019</v>
      </c>
      <c r="P590" s="75">
        <v>10607</v>
      </c>
      <c r="Q590" s="75">
        <v>79321</v>
      </c>
      <c r="R590" s="194">
        <v>313448.64250000002</v>
      </c>
      <c r="S590" s="194">
        <v>5966.05</v>
      </c>
      <c r="T590" s="70">
        <v>1299.3575000000005</v>
      </c>
      <c r="U590" s="80">
        <v>81753.173721494197</v>
      </c>
      <c r="V590" s="73"/>
      <c r="X590" s="30"/>
      <c r="Y590" s="54">
        <v>581</v>
      </c>
      <c r="Z590" s="70">
        <v>58883.65</v>
      </c>
      <c r="AA590" s="75">
        <v>14515</v>
      </c>
      <c r="AB590" s="75">
        <v>5851.2300000000005</v>
      </c>
      <c r="AC590" s="75">
        <v>77737.77</v>
      </c>
      <c r="AD590" s="194">
        <v>338283.75</v>
      </c>
      <c r="AE590" s="194">
        <v>7179.45</v>
      </c>
      <c r="AF590" s="76">
        <v>7.0000000000000007E-2</v>
      </c>
      <c r="AG590" s="70">
        <v>5080.2500000000009</v>
      </c>
      <c r="AH590" s="31"/>
    </row>
    <row r="591" spans="3:34" x14ac:dyDescent="0.25">
      <c r="C591" s="72"/>
      <c r="D591" s="54">
        <v>582</v>
      </c>
      <c r="E591" s="70">
        <v>44493.59</v>
      </c>
      <c r="F591" s="75">
        <v>4677</v>
      </c>
      <c r="G591" s="75">
        <v>89339</v>
      </c>
      <c r="H591" s="194">
        <v>329056</v>
      </c>
      <c r="I591" s="194">
        <v>12341.76</v>
      </c>
      <c r="J591" s="75">
        <v>81753.173721494197</v>
      </c>
      <c r="K591" s="73"/>
      <c r="M591" s="72"/>
      <c r="N591" s="54">
        <v>582</v>
      </c>
      <c r="O591" s="70">
        <v>49452.687500000015</v>
      </c>
      <c r="P591" s="75">
        <v>9405</v>
      </c>
      <c r="Q591" s="75">
        <v>84611</v>
      </c>
      <c r="R591" s="194">
        <v>327903.88750000001</v>
      </c>
      <c r="S591" s="194">
        <v>6230.55</v>
      </c>
      <c r="T591" s="70">
        <v>1152.1125000000004</v>
      </c>
      <c r="U591" s="80">
        <v>81753.173721494197</v>
      </c>
      <c r="V591" s="73"/>
      <c r="X591" s="30"/>
      <c r="Y591" s="54">
        <v>582</v>
      </c>
      <c r="Z591" s="70">
        <v>32323.150000000023</v>
      </c>
      <c r="AA591" s="75">
        <v>9026</v>
      </c>
      <c r="AB591" s="75">
        <v>4854.12</v>
      </c>
      <c r="AC591" s="75">
        <v>76047.88</v>
      </c>
      <c r="AD591" s="194">
        <v>311588.90000000002</v>
      </c>
      <c r="AE591" s="194">
        <v>7045.1</v>
      </c>
      <c r="AF591" s="76">
        <v>0.06</v>
      </c>
      <c r="AG591" s="70">
        <v>3159.1000000000008</v>
      </c>
      <c r="AH591" s="31"/>
    </row>
    <row r="592" spans="3:34" x14ac:dyDescent="0.25">
      <c r="C592" s="72"/>
      <c r="D592" s="54">
        <v>583</v>
      </c>
      <c r="E592" s="70">
        <v>86065.16</v>
      </c>
      <c r="F592" s="75">
        <v>7278</v>
      </c>
      <c r="G592" s="75">
        <v>99001</v>
      </c>
      <c r="H592" s="194">
        <v>371976.5</v>
      </c>
      <c r="I592" s="194">
        <v>13690.69</v>
      </c>
      <c r="J592" s="75">
        <v>81753.173721494197</v>
      </c>
      <c r="K592" s="73"/>
      <c r="M592" s="72"/>
      <c r="N592" s="54">
        <v>583</v>
      </c>
      <c r="O592" s="70">
        <v>35380.479999999996</v>
      </c>
      <c r="P592" s="75">
        <v>8972</v>
      </c>
      <c r="Q592" s="75">
        <v>80956</v>
      </c>
      <c r="R592" s="194">
        <v>313648.93</v>
      </c>
      <c r="S592" s="194">
        <v>6047.8</v>
      </c>
      <c r="T592" s="70">
        <v>1099.0700000000004</v>
      </c>
      <c r="U592" s="80">
        <v>81753.173721494197</v>
      </c>
      <c r="V592" s="73"/>
      <c r="X592" s="30"/>
      <c r="Y592" s="54">
        <v>583</v>
      </c>
      <c r="Z592" s="70">
        <v>46297.44999999999</v>
      </c>
      <c r="AA592" s="75">
        <v>9457</v>
      </c>
      <c r="AB592" s="75">
        <v>6764.72</v>
      </c>
      <c r="AC592" s="75">
        <v>77794.28</v>
      </c>
      <c r="AD592" s="194">
        <v>325746.05</v>
      </c>
      <c r="AE592" s="194">
        <v>7227.95</v>
      </c>
      <c r="AF592" s="76">
        <v>0.08</v>
      </c>
      <c r="AG592" s="70">
        <v>3309.9500000000007</v>
      </c>
      <c r="AH592" s="31"/>
    </row>
    <row r="593" spans="3:34" x14ac:dyDescent="0.25">
      <c r="C593" s="72"/>
      <c r="D593" s="54">
        <v>584</v>
      </c>
      <c r="E593" s="70">
        <v>58351.91</v>
      </c>
      <c r="F593" s="75">
        <v>9772</v>
      </c>
      <c r="G593" s="75">
        <v>88332</v>
      </c>
      <c r="H593" s="194">
        <v>343364</v>
      </c>
      <c r="I593" s="194">
        <v>12791.44</v>
      </c>
      <c r="J593" s="75">
        <v>81753.173721494197</v>
      </c>
      <c r="K593" s="73"/>
      <c r="M593" s="72"/>
      <c r="N593" s="54">
        <v>584</v>
      </c>
      <c r="O593" s="70">
        <v>49201.257499999992</v>
      </c>
      <c r="P593" s="75">
        <v>12873</v>
      </c>
      <c r="Q593" s="75">
        <v>81143</v>
      </c>
      <c r="R593" s="194">
        <v>327479.0575</v>
      </c>
      <c r="S593" s="194">
        <v>6057.15</v>
      </c>
      <c r="T593" s="70">
        <v>1576.9425000000008</v>
      </c>
      <c r="U593" s="80">
        <v>81753.173721494197</v>
      </c>
      <c r="V593" s="73"/>
      <c r="X593" s="30"/>
      <c r="Y593" s="54">
        <v>584</v>
      </c>
      <c r="Z593" s="70">
        <v>59388.85000000002</v>
      </c>
      <c r="AA593" s="75">
        <v>12831</v>
      </c>
      <c r="AB593" s="75">
        <v>7674.57</v>
      </c>
      <c r="AC593" s="75">
        <v>77598.429999999993</v>
      </c>
      <c r="AD593" s="194">
        <v>338873.15</v>
      </c>
      <c r="AE593" s="194">
        <v>7263.6500000000005</v>
      </c>
      <c r="AF593" s="76">
        <v>0.09</v>
      </c>
      <c r="AG593" s="70">
        <v>4490.8500000000013</v>
      </c>
      <c r="AH593" s="31"/>
    </row>
    <row r="594" spans="3:34" x14ac:dyDescent="0.25">
      <c r="C594" s="72"/>
      <c r="D594" s="54">
        <v>585</v>
      </c>
      <c r="E594" s="70">
        <v>30635.27</v>
      </c>
      <c r="F594" s="75">
        <v>7283</v>
      </c>
      <c r="G594" s="75">
        <v>82645</v>
      </c>
      <c r="H594" s="194">
        <v>314748</v>
      </c>
      <c r="I594" s="194">
        <v>11892.08</v>
      </c>
      <c r="J594" s="75">
        <v>81753.173721494197</v>
      </c>
      <c r="K594" s="73"/>
      <c r="M594" s="72"/>
      <c r="N594" s="54">
        <v>585</v>
      </c>
      <c r="O594" s="70">
        <v>49467.405000000006</v>
      </c>
      <c r="P594" s="75">
        <v>9202</v>
      </c>
      <c r="Q594" s="75">
        <v>84814</v>
      </c>
      <c r="R594" s="194">
        <v>327928.755</v>
      </c>
      <c r="S594" s="194">
        <v>6240.7</v>
      </c>
      <c r="T594" s="70">
        <v>1127.2450000000006</v>
      </c>
      <c r="U594" s="80">
        <v>81753.173721494197</v>
      </c>
      <c r="V594" s="73"/>
      <c r="X594" s="30"/>
      <c r="Y594" s="54">
        <v>585</v>
      </c>
      <c r="Z594" s="70">
        <v>60299.049999999988</v>
      </c>
      <c r="AA594" s="75">
        <v>9797</v>
      </c>
      <c r="AB594" s="75">
        <v>4415.3500000000004</v>
      </c>
      <c r="AC594" s="75">
        <v>83891.65</v>
      </c>
      <c r="AD594" s="194">
        <v>339935.05</v>
      </c>
      <c r="AE594" s="194">
        <v>7415.35</v>
      </c>
      <c r="AF594" s="76">
        <v>0.05</v>
      </c>
      <c r="AG594" s="70">
        <v>3428.9500000000007</v>
      </c>
      <c r="AH594" s="31"/>
    </row>
    <row r="595" spans="3:34" x14ac:dyDescent="0.25">
      <c r="C595" s="72"/>
      <c r="D595" s="54">
        <v>586</v>
      </c>
      <c r="E595" s="70">
        <v>44493.59</v>
      </c>
      <c r="F595" s="75">
        <v>6549</v>
      </c>
      <c r="G595" s="75">
        <v>87467</v>
      </c>
      <c r="H595" s="194">
        <v>329056</v>
      </c>
      <c r="I595" s="194">
        <v>12341.76</v>
      </c>
      <c r="J595" s="75">
        <v>81753.173721494197</v>
      </c>
      <c r="K595" s="73"/>
      <c r="M595" s="72"/>
      <c r="N595" s="54">
        <v>586</v>
      </c>
      <c r="O595" s="70">
        <v>63458.992499999993</v>
      </c>
      <c r="P595" s="75">
        <v>10747</v>
      </c>
      <c r="Q595" s="75">
        <v>87357</v>
      </c>
      <c r="R595" s="194">
        <v>342047.49249999999</v>
      </c>
      <c r="S595" s="194">
        <v>6367.85</v>
      </c>
      <c r="T595" s="70">
        <v>1316.5075000000006</v>
      </c>
      <c r="U595" s="80">
        <v>81753.173721494197</v>
      </c>
      <c r="V595" s="73"/>
      <c r="X595" s="30"/>
      <c r="Y595" s="54">
        <v>586</v>
      </c>
      <c r="Z595" s="70">
        <v>60005.35000000002</v>
      </c>
      <c r="AA595" s="75">
        <v>10776</v>
      </c>
      <c r="AB595" s="75">
        <v>6112.9600000000009</v>
      </c>
      <c r="AC595" s="75">
        <v>81215.039999999994</v>
      </c>
      <c r="AD595" s="194">
        <v>339592.4</v>
      </c>
      <c r="AE595" s="194">
        <v>7366.4000000000005</v>
      </c>
      <c r="AF595" s="76">
        <v>7.0000000000000007E-2</v>
      </c>
      <c r="AG595" s="70">
        <v>3771.6000000000008</v>
      </c>
      <c r="AH595" s="31"/>
    </row>
    <row r="596" spans="3:34" x14ac:dyDescent="0.25">
      <c r="C596" s="72"/>
      <c r="D596" s="54">
        <v>587</v>
      </c>
      <c r="E596" s="70">
        <v>86065.16</v>
      </c>
      <c r="F596" s="75">
        <v>10639</v>
      </c>
      <c r="G596" s="75">
        <v>95640</v>
      </c>
      <c r="H596" s="194">
        <v>371976.5</v>
      </c>
      <c r="I596" s="194">
        <v>13690.69</v>
      </c>
      <c r="J596" s="75">
        <v>81753.173721494197</v>
      </c>
      <c r="K596" s="73"/>
      <c r="M596" s="72"/>
      <c r="N596" s="54">
        <v>587</v>
      </c>
      <c r="O596" s="70">
        <v>49459.502500000024</v>
      </c>
      <c r="P596" s="75">
        <v>9311</v>
      </c>
      <c r="Q596" s="75">
        <v>84705</v>
      </c>
      <c r="R596" s="194">
        <v>327915.40250000003</v>
      </c>
      <c r="S596" s="194">
        <v>6235.25</v>
      </c>
      <c r="T596" s="70">
        <v>1140.5975000000005</v>
      </c>
      <c r="U596" s="80">
        <v>81753.173721494197</v>
      </c>
      <c r="V596" s="73"/>
      <c r="X596" s="30"/>
      <c r="Y596" s="54">
        <v>587</v>
      </c>
      <c r="Z596" s="70">
        <v>59717.65</v>
      </c>
      <c r="AA596" s="75">
        <v>11735</v>
      </c>
      <c r="AB596" s="75">
        <v>4318.45</v>
      </c>
      <c r="AC596" s="75">
        <v>82050.55</v>
      </c>
      <c r="AD596" s="194">
        <v>339256.75</v>
      </c>
      <c r="AE596" s="194">
        <v>7318.45</v>
      </c>
      <c r="AF596" s="76">
        <v>0.05</v>
      </c>
      <c r="AG596" s="70">
        <v>4107.2500000000009</v>
      </c>
      <c r="AH596" s="31"/>
    </row>
    <row r="597" spans="3:34" x14ac:dyDescent="0.25">
      <c r="C597" s="72"/>
      <c r="D597" s="54">
        <v>588</v>
      </c>
      <c r="E597" s="70">
        <v>58351.91</v>
      </c>
      <c r="F597" s="75">
        <v>8887</v>
      </c>
      <c r="G597" s="75">
        <v>89217</v>
      </c>
      <c r="H597" s="194">
        <v>343364</v>
      </c>
      <c r="I597" s="194">
        <v>12791.44</v>
      </c>
      <c r="J597" s="75">
        <v>81753.173721494197</v>
      </c>
      <c r="K597" s="73"/>
      <c r="M597" s="72"/>
      <c r="N597" s="54">
        <v>588</v>
      </c>
      <c r="O597" s="70">
        <v>35050.604999999996</v>
      </c>
      <c r="P597" s="75">
        <v>13522</v>
      </c>
      <c r="Q597" s="75">
        <v>76406</v>
      </c>
      <c r="R597" s="194">
        <v>313091.55499999999</v>
      </c>
      <c r="S597" s="194">
        <v>5820.3</v>
      </c>
      <c r="T597" s="70">
        <v>1656.4450000000006</v>
      </c>
      <c r="U597" s="80">
        <v>81753.173721494197</v>
      </c>
      <c r="V597" s="73"/>
      <c r="X597" s="30"/>
      <c r="Y597" s="54">
        <v>588</v>
      </c>
      <c r="Z597" s="70">
        <v>45788.650000000009</v>
      </c>
      <c r="AA597" s="75">
        <v>11153</v>
      </c>
      <c r="AB597" s="75">
        <v>6629.04</v>
      </c>
      <c r="AC597" s="75">
        <v>76233.960000000006</v>
      </c>
      <c r="AD597" s="194">
        <v>325152.45</v>
      </c>
      <c r="AE597" s="194">
        <v>7143.1500000000005</v>
      </c>
      <c r="AF597" s="76">
        <v>0.08</v>
      </c>
      <c r="AG597" s="70">
        <v>3903.5500000000011</v>
      </c>
      <c r="AH597" s="31"/>
    </row>
    <row r="598" spans="3:34" x14ac:dyDescent="0.25">
      <c r="C598" s="72"/>
      <c r="D598" s="54">
        <v>589</v>
      </c>
      <c r="E598" s="70">
        <v>58351.91</v>
      </c>
      <c r="F598" s="75">
        <v>8946</v>
      </c>
      <c r="G598" s="75">
        <v>89158</v>
      </c>
      <c r="H598" s="194">
        <v>343364</v>
      </c>
      <c r="I598" s="194">
        <v>12791.44</v>
      </c>
      <c r="J598" s="75">
        <v>81753.173721494197</v>
      </c>
      <c r="K598" s="73"/>
      <c r="M598" s="72"/>
      <c r="N598" s="54">
        <v>589</v>
      </c>
      <c r="O598" s="70">
        <v>49383.305000000029</v>
      </c>
      <c r="P598" s="75">
        <v>10362</v>
      </c>
      <c r="Q598" s="75">
        <v>83654</v>
      </c>
      <c r="R598" s="194">
        <v>327786.65500000003</v>
      </c>
      <c r="S598" s="194">
        <v>6182.7</v>
      </c>
      <c r="T598" s="70">
        <v>1269.3450000000005</v>
      </c>
      <c r="U598" s="80">
        <v>81753.173721494197</v>
      </c>
      <c r="V598" s="73"/>
      <c r="X598" s="30"/>
      <c r="Y598" s="54">
        <v>589</v>
      </c>
      <c r="Z598" s="70">
        <v>44882.650000000009</v>
      </c>
      <c r="AA598" s="75">
        <v>14173</v>
      </c>
      <c r="AB598" s="75">
        <v>7185.87</v>
      </c>
      <c r="AC598" s="75">
        <v>72657.13</v>
      </c>
      <c r="AD598" s="194">
        <v>324095.45</v>
      </c>
      <c r="AE598" s="194">
        <v>6992.15</v>
      </c>
      <c r="AF598" s="76">
        <v>0.09</v>
      </c>
      <c r="AG598" s="70">
        <v>4960.5500000000011</v>
      </c>
      <c r="AH598" s="31"/>
    </row>
    <row r="599" spans="3:34" x14ac:dyDescent="0.25">
      <c r="C599" s="72"/>
      <c r="D599" s="54">
        <v>590</v>
      </c>
      <c r="E599" s="70">
        <v>44493.59</v>
      </c>
      <c r="F599" s="75">
        <v>9318</v>
      </c>
      <c r="G599" s="75">
        <v>84698</v>
      </c>
      <c r="H599" s="194">
        <v>329056</v>
      </c>
      <c r="I599" s="194">
        <v>12341.76</v>
      </c>
      <c r="J599" s="75">
        <v>81753.173721494197</v>
      </c>
      <c r="K599" s="73"/>
      <c r="M599" s="72"/>
      <c r="N599" s="54">
        <v>590</v>
      </c>
      <c r="O599" s="70">
        <v>49388.452499999978</v>
      </c>
      <c r="P599" s="75">
        <v>10291</v>
      </c>
      <c r="Q599" s="75">
        <v>83725</v>
      </c>
      <c r="R599" s="194">
        <v>327795.35249999998</v>
      </c>
      <c r="S599" s="194">
        <v>6186.25</v>
      </c>
      <c r="T599" s="70">
        <v>1260.6475000000005</v>
      </c>
      <c r="U599" s="80">
        <v>81753.173721494197</v>
      </c>
      <c r="V599" s="73"/>
      <c r="X599" s="30"/>
      <c r="Y599" s="54">
        <v>590</v>
      </c>
      <c r="Z599" s="70">
        <v>45726.55</v>
      </c>
      <c r="AA599" s="75">
        <v>11360</v>
      </c>
      <c r="AB599" s="75">
        <v>4132.8</v>
      </c>
      <c r="AC599" s="75">
        <v>78523.199999999997</v>
      </c>
      <c r="AD599" s="194">
        <v>325080</v>
      </c>
      <c r="AE599" s="194">
        <v>7132.8</v>
      </c>
      <c r="AF599" s="76">
        <v>0.05</v>
      </c>
      <c r="AG599" s="70">
        <v>3976.0000000000009</v>
      </c>
      <c r="AH599" s="31"/>
    </row>
    <row r="600" spans="3:34" x14ac:dyDescent="0.25">
      <c r="C600" s="72"/>
      <c r="D600" s="54">
        <v>591</v>
      </c>
      <c r="E600" s="70">
        <v>44493.59</v>
      </c>
      <c r="F600" s="75">
        <v>6671</v>
      </c>
      <c r="G600" s="75">
        <v>87345</v>
      </c>
      <c r="H600" s="194">
        <v>329056</v>
      </c>
      <c r="I600" s="194">
        <v>12341.76</v>
      </c>
      <c r="J600" s="75">
        <v>81753.173721494197</v>
      </c>
      <c r="K600" s="73"/>
      <c r="M600" s="72"/>
      <c r="N600" s="54">
        <v>591</v>
      </c>
      <c r="O600" s="70">
        <v>49314.575000000026</v>
      </c>
      <c r="P600" s="75">
        <v>11310</v>
      </c>
      <c r="Q600" s="75">
        <v>82706</v>
      </c>
      <c r="R600" s="194">
        <v>327670.52500000002</v>
      </c>
      <c r="S600" s="194">
        <v>6135.3</v>
      </c>
      <c r="T600" s="70">
        <v>1385.4750000000006</v>
      </c>
      <c r="U600" s="80">
        <v>81753.173721494197</v>
      </c>
      <c r="V600" s="73"/>
      <c r="X600" s="30"/>
      <c r="Y600" s="54">
        <v>591</v>
      </c>
      <c r="Z600" s="70">
        <v>44892.250000000022</v>
      </c>
      <c r="AA600" s="75">
        <v>14141</v>
      </c>
      <c r="AB600" s="75">
        <v>3993.75</v>
      </c>
      <c r="AC600" s="75">
        <v>75881.25</v>
      </c>
      <c r="AD600" s="194">
        <v>324106.65000000002</v>
      </c>
      <c r="AE600" s="194">
        <v>6993.75</v>
      </c>
      <c r="AF600" s="76">
        <v>0.05</v>
      </c>
      <c r="AG600" s="70">
        <v>4949.3500000000013</v>
      </c>
      <c r="AH600" s="31"/>
    </row>
    <row r="601" spans="3:34" x14ac:dyDescent="0.25">
      <c r="C601" s="72"/>
      <c r="D601" s="54">
        <v>592</v>
      </c>
      <c r="E601" s="70">
        <v>44493.59</v>
      </c>
      <c r="F601" s="75">
        <v>6554</v>
      </c>
      <c r="G601" s="75">
        <v>87462</v>
      </c>
      <c r="H601" s="194">
        <v>329056</v>
      </c>
      <c r="I601" s="194">
        <v>12341.76</v>
      </c>
      <c r="J601" s="75">
        <v>81753.173721494197</v>
      </c>
      <c r="K601" s="73"/>
      <c r="M601" s="72"/>
      <c r="N601" s="54">
        <v>592</v>
      </c>
      <c r="O601" s="70">
        <v>63530.477499999964</v>
      </c>
      <c r="P601" s="75">
        <v>9761</v>
      </c>
      <c r="Q601" s="75">
        <v>88343</v>
      </c>
      <c r="R601" s="194">
        <v>342168.27749999997</v>
      </c>
      <c r="S601" s="194">
        <v>6417.1500000000005</v>
      </c>
      <c r="T601" s="70">
        <v>1195.7225000000005</v>
      </c>
      <c r="U601" s="80">
        <v>81753.173721494197</v>
      </c>
      <c r="V601" s="73"/>
      <c r="X601" s="30"/>
      <c r="Y601" s="54">
        <v>592</v>
      </c>
      <c r="Z601" s="70">
        <v>59351.949999999975</v>
      </c>
      <c r="AA601" s="75">
        <v>12954</v>
      </c>
      <c r="AB601" s="75">
        <v>6812</v>
      </c>
      <c r="AC601" s="75">
        <v>78338</v>
      </c>
      <c r="AD601" s="194">
        <v>338830.1</v>
      </c>
      <c r="AE601" s="194">
        <v>7257.5</v>
      </c>
      <c r="AF601" s="76">
        <v>0.08</v>
      </c>
      <c r="AG601" s="70">
        <v>4533.9000000000015</v>
      </c>
      <c r="AH601" s="31"/>
    </row>
    <row r="602" spans="3:34" x14ac:dyDescent="0.25">
      <c r="C602" s="72"/>
      <c r="D602" s="54">
        <v>593</v>
      </c>
      <c r="E602" s="70">
        <v>58351.91</v>
      </c>
      <c r="F602" s="75">
        <v>5938</v>
      </c>
      <c r="G602" s="75">
        <v>92166</v>
      </c>
      <c r="H602" s="194">
        <v>343364</v>
      </c>
      <c r="I602" s="194">
        <v>12791.44</v>
      </c>
      <c r="J602" s="75">
        <v>81753.173721494197</v>
      </c>
      <c r="K602" s="73"/>
      <c r="M602" s="72"/>
      <c r="N602" s="54">
        <v>593</v>
      </c>
      <c r="O602" s="70">
        <v>35258.027499999967</v>
      </c>
      <c r="P602" s="75">
        <v>10661</v>
      </c>
      <c r="Q602" s="75">
        <v>79267</v>
      </c>
      <c r="R602" s="194">
        <v>313442.02749999997</v>
      </c>
      <c r="S602" s="194">
        <v>5963.35</v>
      </c>
      <c r="T602" s="70">
        <v>1305.9725000000005</v>
      </c>
      <c r="U602" s="80">
        <v>81753.173721494197</v>
      </c>
      <c r="V602" s="73"/>
      <c r="X602" s="30"/>
      <c r="Y602" s="54">
        <v>593</v>
      </c>
      <c r="Z602" s="70">
        <v>58782.85000000002</v>
      </c>
      <c r="AA602" s="75">
        <v>14851</v>
      </c>
      <c r="AB602" s="75">
        <v>6660.24</v>
      </c>
      <c r="AC602" s="75">
        <v>76592.759999999995</v>
      </c>
      <c r="AD602" s="194">
        <v>338166.15</v>
      </c>
      <c r="AE602" s="194">
        <v>7162.6500000000005</v>
      </c>
      <c r="AF602" s="76">
        <v>0.08</v>
      </c>
      <c r="AG602" s="70">
        <v>5197.8500000000013</v>
      </c>
      <c r="AH602" s="31"/>
    </row>
    <row r="603" spans="3:34" x14ac:dyDescent="0.25">
      <c r="C603" s="72"/>
      <c r="D603" s="54">
        <v>594</v>
      </c>
      <c r="E603" s="70">
        <v>44493.59</v>
      </c>
      <c r="F603" s="75">
        <v>7372</v>
      </c>
      <c r="G603" s="75">
        <v>86644</v>
      </c>
      <c r="H603" s="194">
        <v>329056</v>
      </c>
      <c r="I603" s="194">
        <v>12341.76</v>
      </c>
      <c r="J603" s="75">
        <v>81753.173721494197</v>
      </c>
      <c r="K603" s="73"/>
      <c r="M603" s="72"/>
      <c r="N603" s="54">
        <v>594</v>
      </c>
      <c r="O603" s="70">
        <v>63460.080000000016</v>
      </c>
      <c r="P603" s="75">
        <v>10732</v>
      </c>
      <c r="Q603" s="75">
        <v>87372</v>
      </c>
      <c r="R603" s="194">
        <v>342049.33</v>
      </c>
      <c r="S603" s="194">
        <v>6368.6</v>
      </c>
      <c r="T603" s="70">
        <v>1314.6700000000005</v>
      </c>
      <c r="U603" s="80">
        <v>81753.173721494197</v>
      </c>
      <c r="V603" s="73"/>
      <c r="X603" s="30"/>
      <c r="Y603" s="54">
        <v>594</v>
      </c>
      <c r="Z603" s="70">
        <v>31793.349999999988</v>
      </c>
      <c r="AA603" s="75">
        <v>10792</v>
      </c>
      <c r="AB603" s="75">
        <v>3956.8</v>
      </c>
      <c r="AC603" s="75">
        <v>75179.199999999997</v>
      </c>
      <c r="AD603" s="194">
        <v>310970.8</v>
      </c>
      <c r="AE603" s="194">
        <v>6956.8</v>
      </c>
      <c r="AF603" s="76">
        <v>0.05</v>
      </c>
      <c r="AG603" s="70">
        <v>3777.2000000000012</v>
      </c>
      <c r="AH603" s="31"/>
    </row>
    <row r="604" spans="3:34" x14ac:dyDescent="0.25">
      <c r="C604" s="72"/>
      <c r="D604" s="54">
        <v>595</v>
      </c>
      <c r="E604" s="70">
        <v>30635.27</v>
      </c>
      <c r="F604" s="75">
        <v>5354</v>
      </c>
      <c r="G604" s="75">
        <v>84574</v>
      </c>
      <c r="H604" s="194">
        <v>314748</v>
      </c>
      <c r="I604" s="194">
        <v>11892.08</v>
      </c>
      <c r="J604" s="75">
        <v>81753.173721494197</v>
      </c>
      <c r="K604" s="73"/>
      <c r="M604" s="72"/>
      <c r="N604" s="54">
        <v>595</v>
      </c>
      <c r="O604" s="70">
        <v>49255.777499999989</v>
      </c>
      <c r="P604" s="75">
        <v>12121</v>
      </c>
      <c r="Q604" s="75">
        <v>81895</v>
      </c>
      <c r="R604" s="194">
        <v>327571.17749999999</v>
      </c>
      <c r="S604" s="194">
        <v>6094.75</v>
      </c>
      <c r="T604" s="70">
        <v>1484.8225000000007</v>
      </c>
      <c r="U604" s="80">
        <v>81753.173721494197</v>
      </c>
      <c r="V604" s="73"/>
      <c r="X604" s="30"/>
      <c r="Y604" s="54">
        <v>595</v>
      </c>
      <c r="Z604" s="70">
        <v>46335.250000000022</v>
      </c>
      <c r="AA604" s="75">
        <v>9331</v>
      </c>
      <c r="AB604" s="75">
        <v>6774.8</v>
      </c>
      <c r="AC604" s="75">
        <v>77910.2</v>
      </c>
      <c r="AD604" s="194">
        <v>325790.15000000002</v>
      </c>
      <c r="AE604" s="194">
        <v>7234.25</v>
      </c>
      <c r="AF604" s="76">
        <v>0.08</v>
      </c>
      <c r="AG604" s="70">
        <v>3265.8500000000008</v>
      </c>
      <c r="AH604" s="31"/>
    </row>
    <row r="605" spans="3:34" x14ac:dyDescent="0.25">
      <c r="C605" s="72"/>
      <c r="D605" s="54">
        <v>596</v>
      </c>
      <c r="E605" s="70">
        <v>58351.91</v>
      </c>
      <c r="F605" s="75">
        <v>4935</v>
      </c>
      <c r="G605" s="75">
        <v>93169</v>
      </c>
      <c r="H605" s="194">
        <v>343364</v>
      </c>
      <c r="I605" s="194">
        <v>12791.44</v>
      </c>
      <c r="J605" s="75">
        <v>81753.173721494197</v>
      </c>
      <c r="K605" s="73"/>
      <c r="M605" s="72"/>
      <c r="N605" s="54">
        <v>596</v>
      </c>
      <c r="O605" s="70">
        <v>49454.500000000015</v>
      </c>
      <c r="P605" s="75">
        <v>9380</v>
      </c>
      <c r="Q605" s="75">
        <v>84636</v>
      </c>
      <c r="R605" s="194">
        <v>327906.95</v>
      </c>
      <c r="S605" s="194">
        <v>6231.8</v>
      </c>
      <c r="T605" s="70">
        <v>1149.0500000000004</v>
      </c>
      <c r="U605" s="80">
        <v>81753.173721494197</v>
      </c>
      <c r="V605" s="73"/>
      <c r="X605" s="30"/>
      <c r="Y605" s="54">
        <v>596</v>
      </c>
      <c r="Z605" s="70">
        <v>45801.250000000022</v>
      </c>
      <c r="AA605" s="75">
        <v>11111</v>
      </c>
      <c r="AB605" s="75">
        <v>7461.45</v>
      </c>
      <c r="AC605" s="75">
        <v>75443.55</v>
      </c>
      <c r="AD605" s="194">
        <v>325167.15000000002</v>
      </c>
      <c r="AE605" s="194">
        <v>7145.25</v>
      </c>
      <c r="AF605" s="76">
        <v>0.09</v>
      </c>
      <c r="AG605" s="70">
        <v>3888.8500000000008</v>
      </c>
      <c r="AH605" s="31"/>
    </row>
    <row r="606" spans="3:34" x14ac:dyDescent="0.25">
      <c r="C606" s="72"/>
      <c r="D606" s="54">
        <v>597</v>
      </c>
      <c r="E606" s="70">
        <v>58351.91</v>
      </c>
      <c r="F606" s="75">
        <v>9946</v>
      </c>
      <c r="G606" s="75">
        <v>88158</v>
      </c>
      <c r="H606" s="194">
        <v>343364</v>
      </c>
      <c r="I606" s="194">
        <v>12791.44</v>
      </c>
      <c r="J606" s="75">
        <v>81753.173721494197</v>
      </c>
      <c r="K606" s="73"/>
      <c r="M606" s="72"/>
      <c r="N606" s="54">
        <v>597</v>
      </c>
      <c r="O606" s="70">
        <v>49241.930000000029</v>
      </c>
      <c r="P606" s="75">
        <v>12312</v>
      </c>
      <c r="Q606" s="75">
        <v>81704</v>
      </c>
      <c r="R606" s="194">
        <v>327547.78000000003</v>
      </c>
      <c r="S606" s="194">
        <v>6085.2000000000007</v>
      </c>
      <c r="T606" s="70">
        <v>1508.2200000000007</v>
      </c>
      <c r="U606" s="80">
        <v>81753.173721494197</v>
      </c>
      <c r="V606" s="73"/>
      <c r="X606" s="30"/>
      <c r="Y606" s="54">
        <v>597</v>
      </c>
      <c r="Z606" s="70">
        <v>59972.65</v>
      </c>
      <c r="AA606" s="75">
        <v>10885</v>
      </c>
      <c r="AB606" s="75">
        <v>7849.71</v>
      </c>
      <c r="AC606" s="75">
        <v>79369.289999999994</v>
      </c>
      <c r="AD606" s="194">
        <v>339554.25</v>
      </c>
      <c r="AE606" s="194">
        <v>7360.95</v>
      </c>
      <c r="AF606" s="76">
        <v>0.09</v>
      </c>
      <c r="AG606" s="70">
        <v>3809.7500000000009</v>
      </c>
      <c r="AH606" s="31"/>
    </row>
    <row r="607" spans="3:34" x14ac:dyDescent="0.25">
      <c r="C607" s="72"/>
      <c r="D607" s="54">
        <v>598</v>
      </c>
      <c r="E607" s="70">
        <v>58351.91</v>
      </c>
      <c r="F607" s="75">
        <v>7819</v>
      </c>
      <c r="G607" s="75">
        <v>90285</v>
      </c>
      <c r="H607" s="194">
        <v>343364</v>
      </c>
      <c r="I607" s="194">
        <v>12791.44</v>
      </c>
      <c r="J607" s="75">
        <v>81753.173721494197</v>
      </c>
      <c r="K607" s="73"/>
      <c r="M607" s="72"/>
      <c r="N607" s="54">
        <v>598</v>
      </c>
      <c r="O607" s="70">
        <v>49238.885000000009</v>
      </c>
      <c r="P607" s="75">
        <v>12354</v>
      </c>
      <c r="Q607" s="75">
        <v>81662</v>
      </c>
      <c r="R607" s="194">
        <v>327542.63500000001</v>
      </c>
      <c r="S607" s="194">
        <v>6083.1</v>
      </c>
      <c r="T607" s="70">
        <v>1513.3650000000007</v>
      </c>
      <c r="U607" s="80">
        <v>81753.173721494197</v>
      </c>
      <c r="V607" s="73"/>
      <c r="X607" s="30"/>
      <c r="Y607" s="54">
        <v>598</v>
      </c>
      <c r="Z607" s="70">
        <v>86998.60000000002</v>
      </c>
      <c r="AA607" s="75">
        <v>14811</v>
      </c>
      <c r="AB607" s="75">
        <v>5488.08</v>
      </c>
      <c r="AC607" s="75">
        <v>85979.92</v>
      </c>
      <c r="AD607" s="194">
        <v>366792.65</v>
      </c>
      <c r="AE607" s="194">
        <v>7573.4000000000005</v>
      </c>
      <c r="AF607" s="76">
        <v>0.06</v>
      </c>
      <c r="AG607" s="70">
        <v>5183.8500000000013</v>
      </c>
      <c r="AH607" s="31"/>
    </row>
    <row r="608" spans="3:34" x14ac:dyDescent="0.25">
      <c r="C608" s="72"/>
      <c r="D608" s="54">
        <v>599</v>
      </c>
      <c r="E608" s="70">
        <v>44493.59</v>
      </c>
      <c r="F608" s="75">
        <v>9401</v>
      </c>
      <c r="G608" s="75">
        <v>84615</v>
      </c>
      <c r="H608" s="194">
        <v>329056</v>
      </c>
      <c r="I608" s="194">
        <v>12341.76</v>
      </c>
      <c r="J608" s="75">
        <v>81753.173721494197</v>
      </c>
      <c r="K608" s="73"/>
      <c r="M608" s="72"/>
      <c r="N608" s="54">
        <v>599</v>
      </c>
      <c r="O608" s="70">
        <v>35384.612499999974</v>
      </c>
      <c r="P608" s="75">
        <v>8915</v>
      </c>
      <c r="Q608" s="75">
        <v>81013</v>
      </c>
      <c r="R608" s="194">
        <v>313655.91249999998</v>
      </c>
      <c r="S608" s="194">
        <v>6050.65</v>
      </c>
      <c r="T608" s="70">
        <v>1092.0875000000005</v>
      </c>
      <c r="U608" s="80">
        <v>81753.173721494197</v>
      </c>
      <c r="V608" s="73"/>
      <c r="X608" s="30"/>
      <c r="Y608" s="54">
        <v>599</v>
      </c>
      <c r="Z608" s="70">
        <v>59718.549999999988</v>
      </c>
      <c r="AA608" s="75">
        <v>11732</v>
      </c>
      <c r="AB608" s="75">
        <v>6046.0400000000009</v>
      </c>
      <c r="AC608" s="75">
        <v>80325.959999999992</v>
      </c>
      <c r="AD608" s="194">
        <v>339257.8</v>
      </c>
      <c r="AE608" s="194">
        <v>7318.6</v>
      </c>
      <c r="AF608" s="76">
        <v>7.0000000000000007E-2</v>
      </c>
      <c r="AG608" s="70">
        <v>4106.2000000000007</v>
      </c>
      <c r="AH608" s="31"/>
    </row>
    <row r="609" spans="3:34" x14ac:dyDescent="0.25">
      <c r="C609" s="72"/>
      <c r="D609" s="54">
        <v>600</v>
      </c>
      <c r="E609" s="70">
        <v>44493.59</v>
      </c>
      <c r="F609" s="75">
        <v>8487</v>
      </c>
      <c r="G609" s="75">
        <v>85529</v>
      </c>
      <c r="H609" s="194">
        <v>329056</v>
      </c>
      <c r="I609" s="194">
        <v>12341.76</v>
      </c>
      <c r="J609" s="75">
        <v>81753.173721494197</v>
      </c>
      <c r="K609" s="73"/>
      <c r="M609" s="72"/>
      <c r="N609" s="54">
        <v>600</v>
      </c>
      <c r="O609" s="70">
        <v>35051.112499999974</v>
      </c>
      <c r="P609" s="75">
        <v>13515</v>
      </c>
      <c r="Q609" s="75">
        <v>76413</v>
      </c>
      <c r="R609" s="194">
        <v>313092.41249999998</v>
      </c>
      <c r="S609" s="194">
        <v>5820.65</v>
      </c>
      <c r="T609" s="70">
        <v>1655.5875000000008</v>
      </c>
      <c r="U609" s="80">
        <v>81753.173721494197</v>
      </c>
      <c r="V609" s="73"/>
      <c r="X609" s="30"/>
      <c r="Y609" s="54">
        <v>600</v>
      </c>
      <c r="Z609" s="70">
        <v>46079.650000000009</v>
      </c>
      <c r="AA609" s="75">
        <v>10183</v>
      </c>
      <c r="AB609" s="75">
        <v>4191.6500000000005</v>
      </c>
      <c r="AC609" s="75">
        <v>79641.350000000006</v>
      </c>
      <c r="AD609" s="194">
        <v>325491.95</v>
      </c>
      <c r="AE609" s="194">
        <v>7191.6500000000005</v>
      </c>
      <c r="AF609" s="76">
        <v>0.05</v>
      </c>
      <c r="AG609" s="70">
        <v>3564.0500000000011</v>
      </c>
      <c r="AH609" s="31"/>
    </row>
    <row r="610" spans="3:34" x14ac:dyDescent="0.25">
      <c r="C610" s="72"/>
      <c r="D610" s="54">
        <v>601</v>
      </c>
      <c r="E610" s="70">
        <v>58351.91</v>
      </c>
      <c r="F610" s="75">
        <v>5802</v>
      </c>
      <c r="G610" s="75">
        <v>92302</v>
      </c>
      <c r="H610" s="194">
        <v>343364</v>
      </c>
      <c r="I610" s="194">
        <v>12791.44</v>
      </c>
      <c r="J610" s="75">
        <v>81753.173721494197</v>
      </c>
      <c r="K610" s="73"/>
      <c r="M610" s="72"/>
      <c r="N610" s="54">
        <v>601</v>
      </c>
      <c r="O610" s="70">
        <v>49455.007499999992</v>
      </c>
      <c r="P610" s="75">
        <v>9373</v>
      </c>
      <c r="Q610" s="75">
        <v>84643</v>
      </c>
      <c r="R610" s="194">
        <v>327907.8075</v>
      </c>
      <c r="S610" s="194">
        <v>6232.1500000000005</v>
      </c>
      <c r="T610" s="70">
        <v>1148.1925000000006</v>
      </c>
      <c r="U610" s="80">
        <v>81753.173721494197</v>
      </c>
      <c r="V610" s="73"/>
      <c r="X610" s="30"/>
      <c r="Y610" s="54">
        <v>601</v>
      </c>
      <c r="Z610" s="70">
        <v>45443.94999999999</v>
      </c>
      <c r="AA610" s="75">
        <v>12302</v>
      </c>
      <c r="AB610" s="75">
        <v>5719.9800000000005</v>
      </c>
      <c r="AC610" s="75">
        <v>75994.02</v>
      </c>
      <c r="AD610" s="194">
        <v>324750.3</v>
      </c>
      <c r="AE610" s="194">
        <v>7085.7000000000007</v>
      </c>
      <c r="AF610" s="76">
        <v>7.0000000000000007E-2</v>
      </c>
      <c r="AG610" s="70">
        <v>4305.7000000000007</v>
      </c>
      <c r="AH610" s="31"/>
    </row>
    <row r="611" spans="3:34" x14ac:dyDescent="0.25">
      <c r="C611" s="72"/>
      <c r="D611" s="54">
        <v>602</v>
      </c>
      <c r="E611" s="70">
        <v>86065.16</v>
      </c>
      <c r="F611" s="75">
        <v>10459</v>
      </c>
      <c r="G611" s="75">
        <v>95820</v>
      </c>
      <c r="H611" s="194">
        <v>371976.5</v>
      </c>
      <c r="I611" s="194">
        <v>13690.69</v>
      </c>
      <c r="J611" s="75">
        <v>81753.173721494197</v>
      </c>
      <c r="K611" s="73"/>
      <c r="M611" s="72"/>
      <c r="N611" s="54">
        <v>602</v>
      </c>
      <c r="O611" s="70">
        <v>35180.742500000008</v>
      </c>
      <c r="P611" s="75">
        <v>11727</v>
      </c>
      <c r="Q611" s="75">
        <v>78201</v>
      </c>
      <c r="R611" s="194">
        <v>313311.4425</v>
      </c>
      <c r="S611" s="194">
        <v>5910.05</v>
      </c>
      <c r="T611" s="70">
        <v>1436.5575000000006</v>
      </c>
      <c r="U611" s="80">
        <v>81753.173721494197</v>
      </c>
      <c r="V611" s="73"/>
      <c r="X611" s="30"/>
      <c r="Y611" s="54">
        <v>602</v>
      </c>
      <c r="Z611" s="70">
        <v>86693.500000000015</v>
      </c>
      <c r="AA611" s="75">
        <v>15828</v>
      </c>
      <c r="AB611" s="75">
        <v>5427.0599999999995</v>
      </c>
      <c r="AC611" s="75">
        <v>85023.94</v>
      </c>
      <c r="AD611" s="194">
        <v>366436.7</v>
      </c>
      <c r="AE611" s="194">
        <v>7522.55</v>
      </c>
      <c r="AF611" s="76">
        <v>0.06</v>
      </c>
      <c r="AG611" s="70">
        <v>5539.8000000000011</v>
      </c>
      <c r="AH611" s="31"/>
    </row>
    <row r="612" spans="3:34" x14ac:dyDescent="0.25">
      <c r="C612" s="72"/>
      <c r="D612" s="54">
        <v>603</v>
      </c>
      <c r="E612" s="70">
        <v>44493.59</v>
      </c>
      <c r="F612" s="75">
        <v>5577</v>
      </c>
      <c r="G612" s="75">
        <v>88439</v>
      </c>
      <c r="H612" s="194">
        <v>329056</v>
      </c>
      <c r="I612" s="194">
        <v>12341.76</v>
      </c>
      <c r="J612" s="75">
        <v>81753.173721494197</v>
      </c>
      <c r="K612" s="73"/>
      <c r="M612" s="72"/>
      <c r="N612" s="54">
        <v>603</v>
      </c>
      <c r="O612" s="70">
        <v>49112.082500000004</v>
      </c>
      <c r="P612" s="75">
        <v>14103</v>
      </c>
      <c r="Q612" s="75">
        <v>79913</v>
      </c>
      <c r="R612" s="194">
        <v>327328.38250000001</v>
      </c>
      <c r="S612" s="194">
        <v>5995.65</v>
      </c>
      <c r="T612" s="70">
        <v>1727.6175000000007</v>
      </c>
      <c r="U612" s="80">
        <v>81753.173721494197</v>
      </c>
      <c r="V612" s="73"/>
      <c r="X612" s="30"/>
      <c r="Y612" s="54">
        <v>603</v>
      </c>
      <c r="Z612" s="70">
        <v>86963.500000000015</v>
      </c>
      <c r="AA612" s="75">
        <v>14928</v>
      </c>
      <c r="AB612" s="75">
        <v>4567.55</v>
      </c>
      <c r="AC612" s="75">
        <v>86783.45</v>
      </c>
      <c r="AD612" s="194">
        <v>366751.7</v>
      </c>
      <c r="AE612" s="194">
        <v>7567.55</v>
      </c>
      <c r="AF612" s="76">
        <v>0.05</v>
      </c>
      <c r="AG612" s="70">
        <v>5224.8000000000011</v>
      </c>
      <c r="AH612" s="31"/>
    </row>
    <row r="613" spans="3:34" x14ac:dyDescent="0.25">
      <c r="C613" s="72"/>
      <c r="D613" s="54">
        <v>604</v>
      </c>
      <c r="E613" s="70">
        <v>30635.27</v>
      </c>
      <c r="F613" s="75">
        <v>5467</v>
      </c>
      <c r="G613" s="75">
        <v>84461</v>
      </c>
      <c r="H613" s="194">
        <v>314748</v>
      </c>
      <c r="I613" s="194">
        <v>11892.08</v>
      </c>
      <c r="J613" s="75">
        <v>81753.173721494197</v>
      </c>
      <c r="K613" s="73"/>
      <c r="M613" s="72"/>
      <c r="N613" s="54">
        <v>604</v>
      </c>
      <c r="O613" s="70">
        <v>63362.929999999993</v>
      </c>
      <c r="P613" s="75">
        <v>12072</v>
      </c>
      <c r="Q613" s="75">
        <v>86032</v>
      </c>
      <c r="R613" s="194">
        <v>341885.18</v>
      </c>
      <c r="S613" s="194">
        <v>6301.6</v>
      </c>
      <c r="T613" s="70">
        <v>1478.8200000000006</v>
      </c>
      <c r="U613" s="80">
        <v>81753.173721494197</v>
      </c>
      <c r="V613" s="73"/>
      <c r="X613" s="30"/>
      <c r="Y613" s="54">
        <v>604</v>
      </c>
      <c r="Z613" s="70">
        <v>46016.94999999999</v>
      </c>
      <c r="AA613" s="75">
        <v>10392</v>
      </c>
      <c r="AB613" s="75">
        <v>6689.92</v>
      </c>
      <c r="AC613" s="75">
        <v>76934.080000000002</v>
      </c>
      <c r="AD613" s="194">
        <v>325418.8</v>
      </c>
      <c r="AE613" s="194">
        <v>7181.2</v>
      </c>
      <c r="AF613" s="76">
        <v>0.08</v>
      </c>
      <c r="AG613" s="70">
        <v>3637.2000000000007</v>
      </c>
      <c r="AH613" s="31"/>
    </row>
    <row r="614" spans="3:34" x14ac:dyDescent="0.25">
      <c r="C614" s="72"/>
      <c r="D614" s="54">
        <v>605</v>
      </c>
      <c r="E614" s="70">
        <v>58351.91</v>
      </c>
      <c r="F614" s="75">
        <v>9816</v>
      </c>
      <c r="G614" s="75">
        <v>88288</v>
      </c>
      <c r="H614" s="194">
        <v>343364</v>
      </c>
      <c r="I614" s="194">
        <v>12791.44</v>
      </c>
      <c r="J614" s="75">
        <v>81753.173721494197</v>
      </c>
      <c r="K614" s="73"/>
      <c r="M614" s="72"/>
      <c r="N614" s="54">
        <v>605</v>
      </c>
      <c r="O614" s="70">
        <v>35246.789999999979</v>
      </c>
      <c r="P614" s="75">
        <v>10816</v>
      </c>
      <c r="Q614" s="75">
        <v>79112</v>
      </c>
      <c r="R614" s="194">
        <v>313423.03999999998</v>
      </c>
      <c r="S614" s="194">
        <v>5955.6</v>
      </c>
      <c r="T614" s="70">
        <v>1324.9600000000005</v>
      </c>
      <c r="U614" s="80">
        <v>81753.173721494197</v>
      </c>
      <c r="V614" s="73"/>
      <c r="X614" s="30"/>
      <c r="Y614" s="54">
        <v>605</v>
      </c>
      <c r="Z614" s="70">
        <v>59684.35000000002</v>
      </c>
      <c r="AA614" s="75">
        <v>11846</v>
      </c>
      <c r="AB614" s="75">
        <v>5175.4799999999996</v>
      </c>
      <c r="AC614" s="75">
        <v>81082.52</v>
      </c>
      <c r="AD614" s="194">
        <v>339217.9</v>
      </c>
      <c r="AE614" s="194">
        <v>7312.9000000000005</v>
      </c>
      <c r="AF614" s="76">
        <v>0.06</v>
      </c>
      <c r="AG614" s="70">
        <v>4146.1000000000013</v>
      </c>
      <c r="AH614" s="31"/>
    </row>
    <row r="615" spans="3:34" x14ac:dyDescent="0.25">
      <c r="C615" s="72"/>
      <c r="D615" s="54">
        <v>606</v>
      </c>
      <c r="E615" s="70">
        <v>44493.59</v>
      </c>
      <c r="F615" s="75">
        <v>7439</v>
      </c>
      <c r="G615" s="75">
        <v>86577</v>
      </c>
      <c r="H615" s="194">
        <v>329056</v>
      </c>
      <c r="I615" s="194">
        <v>12341.76</v>
      </c>
      <c r="J615" s="75">
        <v>81753.173721494197</v>
      </c>
      <c r="K615" s="73"/>
      <c r="M615" s="72"/>
      <c r="N615" s="54">
        <v>606</v>
      </c>
      <c r="O615" s="70">
        <v>49384.682499999981</v>
      </c>
      <c r="P615" s="75">
        <v>10343</v>
      </c>
      <c r="Q615" s="75">
        <v>83673</v>
      </c>
      <c r="R615" s="194">
        <v>327788.98249999998</v>
      </c>
      <c r="S615" s="194">
        <v>6183.6500000000005</v>
      </c>
      <c r="T615" s="70">
        <v>1267.0175000000006</v>
      </c>
      <c r="U615" s="80">
        <v>81753.173721494197</v>
      </c>
      <c r="V615" s="73"/>
      <c r="X615" s="30"/>
      <c r="Y615" s="54">
        <v>606</v>
      </c>
      <c r="Z615" s="70">
        <v>59632.449999999975</v>
      </c>
      <c r="AA615" s="75">
        <v>12019</v>
      </c>
      <c r="AB615" s="75">
        <v>5165.0999999999995</v>
      </c>
      <c r="AC615" s="75">
        <v>80919.899999999994</v>
      </c>
      <c r="AD615" s="194">
        <v>339157.35</v>
      </c>
      <c r="AE615" s="194">
        <v>7304.25</v>
      </c>
      <c r="AF615" s="76">
        <v>0.06</v>
      </c>
      <c r="AG615" s="70">
        <v>4206.6500000000015</v>
      </c>
      <c r="AH615" s="31"/>
    </row>
    <row r="616" spans="3:34" x14ac:dyDescent="0.25">
      <c r="C616" s="72"/>
      <c r="D616" s="54">
        <v>607</v>
      </c>
      <c r="E616" s="70">
        <v>44493.59</v>
      </c>
      <c r="F616" s="75">
        <v>5551</v>
      </c>
      <c r="G616" s="75">
        <v>88465</v>
      </c>
      <c r="H616" s="194">
        <v>329056</v>
      </c>
      <c r="I616" s="194">
        <v>12341.76</v>
      </c>
      <c r="J616" s="75">
        <v>81753.173721494197</v>
      </c>
      <c r="K616" s="73"/>
      <c r="M616" s="72"/>
      <c r="N616" s="54">
        <v>607</v>
      </c>
      <c r="O616" s="70">
        <v>63318.197499999973</v>
      </c>
      <c r="P616" s="75">
        <v>12689</v>
      </c>
      <c r="Q616" s="75">
        <v>85415</v>
      </c>
      <c r="R616" s="194">
        <v>341809.59749999997</v>
      </c>
      <c r="S616" s="194">
        <v>6270.75</v>
      </c>
      <c r="T616" s="70">
        <v>1554.4025000000006</v>
      </c>
      <c r="U616" s="80">
        <v>81753.173721494197</v>
      </c>
      <c r="V616" s="73"/>
      <c r="X616" s="30"/>
      <c r="Y616" s="54">
        <v>607</v>
      </c>
      <c r="Z616" s="70">
        <v>45752.05</v>
      </c>
      <c r="AA616" s="75">
        <v>11275</v>
      </c>
      <c r="AB616" s="75">
        <v>5791.8700000000008</v>
      </c>
      <c r="AC616" s="75">
        <v>76949.13</v>
      </c>
      <c r="AD616" s="194">
        <v>325109.75</v>
      </c>
      <c r="AE616" s="194">
        <v>7137.05</v>
      </c>
      <c r="AF616" s="76">
        <v>7.0000000000000007E-2</v>
      </c>
      <c r="AG616" s="70">
        <v>3946.2500000000009</v>
      </c>
      <c r="AH616" s="31"/>
    </row>
    <row r="617" spans="3:34" x14ac:dyDescent="0.25">
      <c r="C617" s="72"/>
      <c r="D617" s="54">
        <v>608</v>
      </c>
      <c r="E617" s="70">
        <v>58351.91</v>
      </c>
      <c r="F617" s="75">
        <v>5910</v>
      </c>
      <c r="G617" s="75">
        <v>92194</v>
      </c>
      <c r="H617" s="194">
        <v>343364</v>
      </c>
      <c r="I617" s="194">
        <v>12791.44</v>
      </c>
      <c r="J617" s="75">
        <v>81753.173721494197</v>
      </c>
      <c r="K617" s="73"/>
      <c r="M617" s="72"/>
      <c r="N617" s="54">
        <v>608</v>
      </c>
      <c r="O617" s="70">
        <v>49183.71249999998</v>
      </c>
      <c r="P617" s="75">
        <v>13115</v>
      </c>
      <c r="Q617" s="75">
        <v>80901</v>
      </c>
      <c r="R617" s="194">
        <v>327449.41249999998</v>
      </c>
      <c r="S617" s="194">
        <v>6045.05</v>
      </c>
      <c r="T617" s="70">
        <v>1606.5875000000008</v>
      </c>
      <c r="U617" s="80">
        <v>81753.173721494197</v>
      </c>
      <c r="V617" s="73"/>
      <c r="X617" s="30"/>
      <c r="Y617" s="54">
        <v>608</v>
      </c>
      <c r="Z617" s="70">
        <v>87954.4</v>
      </c>
      <c r="AA617" s="75">
        <v>11625</v>
      </c>
      <c r="AB617" s="75">
        <v>4732.7</v>
      </c>
      <c r="AC617" s="75">
        <v>89921.3</v>
      </c>
      <c r="AD617" s="194">
        <v>367907.75</v>
      </c>
      <c r="AE617" s="194">
        <v>7732.7</v>
      </c>
      <c r="AF617" s="76">
        <v>0.05</v>
      </c>
      <c r="AG617" s="70">
        <v>4068.7500000000009</v>
      </c>
      <c r="AH617" s="31"/>
    </row>
    <row r="618" spans="3:34" x14ac:dyDescent="0.25">
      <c r="C618" s="72"/>
      <c r="D618" s="54">
        <v>609</v>
      </c>
      <c r="E618" s="70">
        <v>58351.91</v>
      </c>
      <c r="F618" s="75">
        <v>8007</v>
      </c>
      <c r="G618" s="75">
        <v>90097</v>
      </c>
      <c r="H618" s="194">
        <v>343364</v>
      </c>
      <c r="I618" s="194">
        <v>12791.44</v>
      </c>
      <c r="J618" s="75">
        <v>81753.173721494197</v>
      </c>
      <c r="K618" s="73"/>
      <c r="M618" s="72"/>
      <c r="N618" s="54">
        <v>609</v>
      </c>
      <c r="O618" s="70">
        <v>49456.892499999994</v>
      </c>
      <c r="P618" s="75">
        <v>9347</v>
      </c>
      <c r="Q618" s="75">
        <v>84669</v>
      </c>
      <c r="R618" s="194">
        <v>327910.99249999999</v>
      </c>
      <c r="S618" s="194">
        <v>6233.45</v>
      </c>
      <c r="T618" s="70">
        <v>1145.0075000000004</v>
      </c>
      <c r="U618" s="80">
        <v>81753.173721494197</v>
      </c>
      <c r="V618" s="73"/>
      <c r="X618" s="30"/>
      <c r="Y618" s="54">
        <v>609</v>
      </c>
      <c r="Z618" s="70">
        <v>59115.549999999988</v>
      </c>
      <c r="AA618" s="75">
        <v>13742</v>
      </c>
      <c r="AB618" s="75">
        <v>5061.72</v>
      </c>
      <c r="AC618" s="75">
        <v>79300.28</v>
      </c>
      <c r="AD618" s="194">
        <v>338554.3</v>
      </c>
      <c r="AE618" s="194">
        <v>7218.1</v>
      </c>
      <c r="AF618" s="76">
        <v>0.06</v>
      </c>
      <c r="AG618" s="70">
        <v>4809.7000000000016</v>
      </c>
      <c r="AH618" s="31"/>
    </row>
    <row r="619" spans="3:34" x14ac:dyDescent="0.25">
      <c r="C619" s="72"/>
      <c r="D619" s="54">
        <v>610</v>
      </c>
      <c r="E619" s="70">
        <v>30635.27</v>
      </c>
      <c r="F619" s="75">
        <v>6262</v>
      </c>
      <c r="G619" s="75">
        <v>83666</v>
      </c>
      <c r="H619" s="194">
        <v>314748</v>
      </c>
      <c r="I619" s="194">
        <v>11892.08</v>
      </c>
      <c r="J619" s="75">
        <v>81753.173721494197</v>
      </c>
      <c r="K619" s="73"/>
      <c r="M619" s="72"/>
      <c r="N619" s="54">
        <v>610</v>
      </c>
      <c r="O619" s="70">
        <v>63168.485000000008</v>
      </c>
      <c r="P619" s="75">
        <v>14754</v>
      </c>
      <c r="Q619" s="75">
        <v>83350</v>
      </c>
      <c r="R619" s="194">
        <v>341556.63500000001</v>
      </c>
      <c r="S619" s="194">
        <v>6167.5</v>
      </c>
      <c r="T619" s="70">
        <v>1807.3650000000007</v>
      </c>
      <c r="U619" s="80">
        <v>81753.173721494197</v>
      </c>
      <c r="V619" s="73"/>
      <c r="X619" s="30"/>
      <c r="Y619" s="54">
        <v>610</v>
      </c>
      <c r="Z619" s="70">
        <v>45468.250000000022</v>
      </c>
      <c r="AA619" s="75">
        <v>12221</v>
      </c>
      <c r="AB619" s="75">
        <v>5725.6500000000005</v>
      </c>
      <c r="AC619" s="75">
        <v>76069.350000000006</v>
      </c>
      <c r="AD619" s="194">
        <v>324778.65000000002</v>
      </c>
      <c r="AE619" s="194">
        <v>7089.75</v>
      </c>
      <c r="AF619" s="76">
        <v>7.0000000000000007E-2</v>
      </c>
      <c r="AG619" s="70">
        <v>4277.3500000000013</v>
      </c>
      <c r="AH619" s="31"/>
    </row>
    <row r="620" spans="3:34" x14ac:dyDescent="0.25">
      <c r="C620" s="72"/>
      <c r="D620" s="54">
        <v>611</v>
      </c>
      <c r="E620" s="70">
        <v>44493.59</v>
      </c>
      <c r="F620" s="75">
        <v>6468</v>
      </c>
      <c r="G620" s="75">
        <v>87548</v>
      </c>
      <c r="H620" s="194">
        <v>329056</v>
      </c>
      <c r="I620" s="194">
        <v>12341.76</v>
      </c>
      <c r="J620" s="75">
        <v>81753.173721494197</v>
      </c>
      <c r="K620" s="73"/>
      <c r="M620" s="72"/>
      <c r="N620" s="54">
        <v>611</v>
      </c>
      <c r="O620" s="70">
        <v>35383.525000000009</v>
      </c>
      <c r="P620" s="75">
        <v>8930</v>
      </c>
      <c r="Q620" s="75">
        <v>80998</v>
      </c>
      <c r="R620" s="194">
        <v>313654.07500000001</v>
      </c>
      <c r="S620" s="194">
        <v>6049.9</v>
      </c>
      <c r="T620" s="70">
        <v>1093.9250000000004</v>
      </c>
      <c r="U620" s="80">
        <v>81753.173721494197</v>
      </c>
      <c r="V620" s="73"/>
      <c r="X620" s="30"/>
      <c r="Y620" s="54">
        <v>611</v>
      </c>
      <c r="Z620" s="70">
        <v>31483.150000000023</v>
      </c>
      <c r="AA620" s="75">
        <v>11826</v>
      </c>
      <c r="AB620" s="75">
        <v>7029.1799999999994</v>
      </c>
      <c r="AC620" s="75">
        <v>71072.820000000007</v>
      </c>
      <c r="AD620" s="194">
        <v>310608.90000000002</v>
      </c>
      <c r="AE620" s="194">
        <v>6905.1</v>
      </c>
      <c r="AF620" s="76">
        <v>0.09</v>
      </c>
      <c r="AG620" s="70">
        <v>4139.1000000000013</v>
      </c>
      <c r="AH620" s="31"/>
    </row>
    <row r="621" spans="3:34" x14ac:dyDescent="0.25">
      <c r="C621" s="72"/>
      <c r="D621" s="54">
        <v>612</v>
      </c>
      <c r="E621" s="70">
        <v>30635.27</v>
      </c>
      <c r="F621" s="75">
        <v>8021</v>
      </c>
      <c r="G621" s="75">
        <v>81907</v>
      </c>
      <c r="H621" s="194">
        <v>314748</v>
      </c>
      <c r="I621" s="194">
        <v>11892.08</v>
      </c>
      <c r="J621" s="75">
        <v>81753.173721494197</v>
      </c>
      <c r="K621" s="73"/>
      <c r="M621" s="72"/>
      <c r="N621" s="54">
        <v>612</v>
      </c>
      <c r="O621" s="70">
        <v>49119.622499999998</v>
      </c>
      <c r="P621" s="75">
        <v>13999</v>
      </c>
      <c r="Q621" s="75">
        <v>80017</v>
      </c>
      <c r="R621" s="194">
        <v>327341.1225</v>
      </c>
      <c r="S621" s="194">
        <v>6000.85</v>
      </c>
      <c r="T621" s="70">
        <v>1714.8775000000007</v>
      </c>
      <c r="U621" s="80">
        <v>81753.173721494197</v>
      </c>
      <c r="V621" s="73"/>
      <c r="X621" s="30"/>
      <c r="Y621" s="54">
        <v>612</v>
      </c>
      <c r="Z621" s="70">
        <v>60042.250000000015</v>
      </c>
      <c r="AA621" s="75">
        <v>10653</v>
      </c>
      <c r="AB621" s="75">
        <v>6996.08</v>
      </c>
      <c r="AC621" s="75">
        <v>80454.92</v>
      </c>
      <c r="AD621" s="194">
        <v>339635.45</v>
      </c>
      <c r="AE621" s="194">
        <v>7372.55</v>
      </c>
      <c r="AF621" s="76">
        <v>0.08</v>
      </c>
      <c r="AG621" s="70">
        <v>3728.5500000000011</v>
      </c>
      <c r="AH621" s="31"/>
    </row>
    <row r="622" spans="3:34" x14ac:dyDescent="0.25">
      <c r="C622" s="72"/>
      <c r="D622" s="54">
        <v>613</v>
      </c>
      <c r="E622" s="70">
        <v>86065.16</v>
      </c>
      <c r="F622" s="75">
        <v>8490</v>
      </c>
      <c r="G622" s="75">
        <v>97789</v>
      </c>
      <c r="H622" s="194">
        <v>371976.5</v>
      </c>
      <c r="I622" s="194">
        <v>13690.69</v>
      </c>
      <c r="J622" s="75">
        <v>81753.173721494197</v>
      </c>
      <c r="K622" s="73"/>
      <c r="M622" s="72"/>
      <c r="N622" s="54">
        <v>613</v>
      </c>
      <c r="O622" s="70">
        <v>91456.69749999998</v>
      </c>
      <c r="P622" s="75">
        <v>13589</v>
      </c>
      <c r="Q622" s="75">
        <v>92690</v>
      </c>
      <c r="R622" s="194">
        <v>370311.84749999997</v>
      </c>
      <c r="S622" s="194">
        <v>6634.5</v>
      </c>
      <c r="T622" s="70">
        <v>1664.6525000000008</v>
      </c>
      <c r="U622" s="80">
        <v>81753.173721494197</v>
      </c>
      <c r="V622" s="73"/>
      <c r="X622" s="30"/>
      <c r="Y622" s="54">
        <v>613</v>
      </c>
      <c r="Z622" s="70">
        <v>45763.44999999999</v>
      </c>
      <c r="AA622" s="75">
        <v>11237</v>
      </c>
      <c r="AB622" s="75">
        <v>6622.32</v>
      </c>
      <c r="AC622" s="75">
        <v>76156.679999999993</v>
      </c>
      <c r="AD622" s="194">
        <v>325123.05</v>
      </c>
      <c r="AE622" s="194">
        <v>7138.95</v>
      </c>
      <c r="AF622" s="76">
        <v>0.08</v>
      </c>
      <c r="AG622" s="70">
        <v>3932.9500000000012</v>
      </c>
      <c r="AH622" s="31"/>
    </row>
    <row r="623" spans="3:34" x14ac:dyDescent="0.25">
      <c r="C623" s="72"/>
      <c r="D623" s="54">
        <v>614</v>
      </c>
      <c r="E623" s="70">
        <v>58351.91</v>
      </c>
      <c r="F623" s="75">
        <v>4887</v>
      </c>
      <c r="G623" s="75">
        <v>93217</v>
      </c>
      <c r="H623" s="194">
        <v>343364</v>
      </c>
      <c r="I623" s="194">
        <v>12791.44</v>
      </c>
      <c r="J623" s="75">
        <v>81753.173721494197</v>
      </c>
      <c r="K623" s="73"/>
      <c r="M623" s="72"/>
      <c r="N623" s="54">
        <v>614</v>
      </c>
      <c r="O623" s="70">
        <v>35113.607500000006</v>
      </c>
      <c r="P623" s="75">
        <v>12653</v>
      </c>
      <c r="Q623" s="75">
        <v>77275</v>
      </c>
      <c r="R623" s="194">
        <v>313198.00750000001</v>
      </c>
      <c r="S623" s="194">
        <v>5863.75</v>
      </c>
      <c r="T623" s="70">
        <v>1549.9925000000007</v>
      </c>
      <c r="U623" s="80">
        <v>81753.173721494197</v>
      </c>
      <c r="V623" s="73"/>
      <c r="X623" s="30"/>
      <c r="Y623" s="54">
        <v>614</v>
      </c>
      <c r="Z623" s="70">
        <v>87955.299999999988</v>
      </c>
      <c r="AA623" s="75">
        <v>11622</v>
      </c>
      <c r="AB623" s="75">
        <v>9465.7000000000007</v>
      </c>
      <c r="AC623" s="75">
        <v>85191.3</v>
      </c>
      <c r="AD623" s="194">
        <v>367908.8</v>
      </c>
      <c r="AE623" s="194">
        <v>7732.85</v>
      </c>
      <c r="AF623" s="76">
        <v>0.1</v>
      </c>
      <c r="AG623" s="70">
        <v>4067.7000000000012</v>
      </c>
      <c r="AH623" s="31"/>
    </row>
    <row r="624" spans="3:34" x14ac:dyDescent="0.25">
      <c r="C624" s="72"/>
      <c r="D624" s="54">
        <v>615</v>
      </c>
      <c r="E624" s="70">
        <v>30635.27</v>
      </c>
      <c r="F624" s="75">
        <v>6317</v>
      </c>
      <c r="G624" s="75">
        <v>83611</v>
      </c>
      <c r="H624" s="194">
        <v>314748</v>
      </c>
      <c r="I624" s="194">
        <v>11892.08</v>
      </c>
      <c r="J624" s="75">
        <v>81753.173721494197</v>
      </c>
      <c r="K624" s="73"/>
      <c r="M624" s="72"/>
      <c r="N624" s="54">
        <v>615</v>
      </c>
      <c r="O624" s="70">
        <v>91349.832499999975</v>
      </c>
      <c r="P624" s="75">
        <v>15063</v>
      </c>
      <c r="Q624" s="75">
        <v>91216</v>
      </c>
      <c r="R624" s="194">
        <v>370131.28249999997</v>
      </c>
      <c r="S624" s="194">
        <v>6560.8</v>
      </c>
      <c r="T624" s="70">
        <v>1845.2175000000009</v>
      </c>
      <c r="U624" s="80">
        <v>81753.173721494197</v>
      </c>
      <c r="V624" s="73"/>
      <c r="X624" s="30"/>
      <c r="Y624" s="54">
        <v>615</v>
      </c>
      <c r="Z624" s="70">
        <v>60023.949999999975</v>
      </c>
      <c r="AA624" s="75">
        <v>10714</v>
      </c>
      <c r="AB624" s="75">
        <v>7865.0999999999995</v>
      </c>
      <c r="AC624" s="75">
        <v>79524.899999999994</v>
      </c>
      <c r="AD624" s="194">
        <v>339614.1</v>
      </c>
      <c r="AE624" s="194">
        <v>7369.5</v>
      </c>
      <c r="AF624" s="76">
        <v>0.09</v>
      </c>
      <c r="AG624" s="70">
        <v>3749.900000000001</v>
      </c>
      <c r="AH624" s="31"/>
    </row>
    <row r="625" spans="3:34" x14ac:dyDescent="0.25">
      <c r="C625" s="72"/>
      <c r="D625" s="54">
        <v>616</v>
      </c>
      <c r="E625" s="70">
        <v>58351.91</v>
      </c>
      <c r="F625" s="75">
        <v>7903</v>
      </c>
      <c r="G625" s="75">
        <v>90201</v>
      </c>
      <c r="H625" s="194">
        <v>343364</v>
      </c>
      <c r="I625" s="194">
        <v>12791.44</v>
      </c>
      <c r="J625" s="75">
        <v>81753.173721494197</v>
      </c>
      <c r="K625" s="73"/>
      <c r="M625" s="72"/>
      <c r="N625" s="54">
        <v>616</v>
      </c>
      <c r="O625" s="70">
        <v>63237.65</v>
      </c>
      <c r="P625" s="75">
        <v>13800</v>
      </c>
      <c r="Q625" s="75">
        <v>84304</v>
      </c>
      <c r="R625" s="194">
        <v>341673.5</v>
      </c>
      <c r="S625" s="194">
        <v>6215.2</v>
      </c>
      <c r="T625" s="70">
        <v>1690.5000000000007</v>
      </c>
      <c r="U625" s="80">
        <v>81753.173721494197</v>
      </c>
      <c r="V625" s="73"/>
      <c r="X625" s="30"/>
      <c r="Y625" s="54">
        <v>616</v>
      </c>
      <c r="Z625" s="70">
        <v>59728.750000000015</v>
      </c>
      <c r="AA625" s="75">
        <v>11698</v>
      </c>
      <c r="AB625" s="75">
        <v>5184.3599999999997</v>
      </c>
      <c r="AC625" s="75">
        <v>81221.64</v>
      </c>
      <c r="AD625" s="194">
        <v>339269.7</v>
      </c>
      <c r="AE625" s="194">
        <v>7320.3</v>
      </c>
      <c r="AF625" s="76">
        <v>0.06</v>
      </c>
      <c r="AG625" s="70">
        <v>4094.3000000000011</v>
      </c>
      <c r="AH625" s="31"/>
    </row>
    <row r="626" spans="3:34" x14ac:dyDescent="0.25">
      <c r="C626" s="72"/>
      <c r="D626" s="54">
        <v>617</v>
      </c>
      <c r="E626" s="70">
        <v>44493.59</v>
      </c>
      <c r="F626" s="75">
        <v>7524</v>
      </c>
      <c r="G626" s="75">
        <v>86492</v>
      </c>
      <c r="H626" s="194">
        <v>329056</v>
      </c>
      <c r="I626" s="194">
        <v>12341.76</v>
      </c>
      <c r="J626" s="75">
        <v>81753.173721494197</v>
      </c>
      <c r="K626" s="73"/>
      <c r="M626" s="72"/>
      <c r="N626" s="54">
        <v>617</v>
      </c>
      <c r="O626" s="70">
        <v>63394.685000000019</v>
      </c>
      <c r="P626" s="75">
        <v>11634</v>
      </c>
      <c r="Q626" s="75">
        <v>86470</v>
      </c>
      <c r="R626" s="194">
        <v>341938.83500000002</v>
      </c>
      <c r="S626" s="194">
        <v>6323.5</v>
      </c>
      <c r="T626" s="70">
        <v>1425.1650000000006</v>
      </c>
      <c r="U626" s="80">
        <v>81753.173721494197</v>
      </c>
      <c r="V626" s="73"/>
      <c r="X626" s="30"/>
      <c r="Y626" s="54">
        <v>617</v>
      </c>
      <c r="Z626" s="70">
        <v>31238.05000000001</v>
      </c>
      <c r="AA626" s="75">
        <v>12643</v>
      </c>
      <c r="AB626" s="75">
        <v>7728.5</v>
      </c>
      <c r="AC626" s="75">
        <v>69556.5</v>
      </c>
      <c r="AD626" s="194">
        <v>310322.95</v>
      </c>
      <c r="AE626" s="194">
        <v>6864.25</v>
      </c>
      <c r="AF626" s="76">
        <v>0.1</v>
      </c>
      <c r="AG626" s="70">
        <v>4425.0500000000011</v>
      </c>
      <c r="AH626" s="31"/>
    </row>
    <row r="627" spans="3:34" x14ac:dyDescent="0.25">
      <c r="C627" s="72"/>
      <c r="D627" s="54">
        <v>618</v>
      </c>
      <c r="E627" s="70">
        <v>44493.59</v>
      </c>
      <c r="F627" s="75">
        <v>4824</v>
      </c>
      <c r="G627" s="75">
        <v>89192</v>
      </c>
      <c r="H627" s="194">
        <v>329056</v>
      </c>
      <c r="I627" s="194">
        <v>12341.76</v>
      </c>
      <c r="J627" s="75">
        <v>81753.173721494197</v>
      </c>
      <c r="K627" s="73"/>
      <c r="M627" s="72"/>
      <c r="N627" s="54">
        <v>618</v>
      </c>
      <c r="O627" s="70">
        <v>63529.607499999998</v>
      </c>
      <c r="P627" s="75">
        <v>9773</v>
      </c>
      <c r="Q627" s="75">
        <v>88331</v>
      </c>
      <c r="R627" s="194">
        <v>342166.8075</v>
      </c>
      <c r="S627" s="194">
        <v>6416.55</v>
      </c>
      <c r="T627" s="70">
        <v>1197.1925000000006</v>
      </c>
      <c r="U627" s="80">
        <v>81753.173721494197</v>
      </c>
      <c r="V627" s="73"/>
      <c r="X627" s="30"/>
      <c r="Y627" s="54">
        <v>618</v>
      </c>
      <c r="Z627" s="70">
        <v>60331.15</v>
      </c>
      <c r="AA627" s="75">
        <v>9690</v>
      </c>
      <c r="AB627" s="75">
        <v>6188.9800000000005</v>
      </c>
      <c r="AC627" s="75">
        <v>82225.02</v>
      </c>
      <c r="AD627" s="194">
        <v>339972.5</v>
      </c>
      <c r="AE627" s="194">
        <v>7420.7</v>
      </c>
      <c r="AF627" s="76">
        <v>7.0000000000000007E-2</v>
      </c>
      <c r="AG627" s="70">
        <v>3391.5000000000009</v>
      </c>
      <c r="AH627" s="31"/>
    </row>
    <row r="628" spans="3:34" x14ac:dyDescent="0.25">
      <c r="C628" s="72"/>
      <c r="D628" s="54">
        <v>619</v>
      </c>
      <c r="E628" s="70">
        <v>44493.59</v>
      </c>
      <c r="F628" s="75">
        <v>9338</v>
      </c>
      <c r="G628" s="75">
        <v>84678</v>
      </c>
      <c r="H628" s="194">
        <v>329056</v>
      </c>
      <c r="I628" s="194">
        <v>12341.76</v>
      </c>
      <c r="J628" s="75">
        <v>81753.173721494197</v>
      </c>
      <c r="K628" s="73"/>
      <c r="M628" s="72"/>
      <c r="N628" s="54">
        <v>619</v>
      </c>
      <c r="O628" s="70">
        <v>63249.467500000028</v>
      </c>
      <c r="P628" s="75">
        <v>13637</v>
      </c>
      <c r="Q628" s="75">
        <v>84467</v>
      </c>
      <c r="R628" s="194">
        <v>341693.46750000003</v>
      </c>
      <c r="S628" s="194">
        <v>6223.35</v>
      </c>
      <c r="T628" s="70">
        <v>1670.5325000000007</v>
      </c>
      <c r="U628" s="80">
        <v>81753.173721494197</v>
      </c>
      <c r="V628" s="73"/>
      <c r="X628" s="30"/>
      <c r="Y628" s="54">
        <v>619</v>
      </c>
      <c r="Z628" s="70">
        <v>60007.449999999975</v>
      </c>
      <c r="AA628" s="75">
        <v>10769</v>
      </c>
      <c r="AB628" s="75">
        <v>8733.5</v>
      </c>
      <c r="AC628" s="75">
        <v>78601.5</v>
      </c>
      <c r="AD628" s="194">
        <v>339594.85</v>
      </c>
      <c r="AE628" s="194">
        <v>7366.75</v>
      </c>
      <c r="AF628" s="76">
        <v>0.1</v>
      </c>
      <c r="AG628" s="70">
        <v>3769.150000000001</v>
      </c>
      <c r="AH628" s="31"/>
    </row>
    <row r="629" spans="3:34" x14ac:dyDescent="0.25">
      <c r="C629" s="72"/>
      <c r="D629" s="54">
        <v>620</v>
      </c>
      <c r="E629" s="70">
        <v>58351.91</v>
      </c>
      <c r="F629" s="75">
        <v>5902</v>
      </c>
      <c r="G629" s="75">
        <v>92202</v>
      </c>
      <c r="H629" s="194">
        <v>343364</v>
      </c>
      <c r="I629" s="194">
        <v>12791.44</v>
      </c>
      <c r="J629" s="75">
        <v>81753.173721494197</v>
      </c>
      <c r="K629" s="73"/>
      <c r="M629" s="72"/>
      <c r="N629" s="54">
        <v>620</v>
      </c>
      <c r="O629" s="70">
        <v>49393.165000000001</v>
      </c>
      <c r="P629" s="75">
        <v>10226</v>
      </c>
      <c r="Q629" s="75">
        <v>83790</v>
      </c>
      <c r="R629" s="194">
        <v>327803.315</v>
      </c>
      <c r="S629" s="194">
        <v>6189.5</v>
      </c>
      <c r="T629" s="70">
        <v>1252.6850000000006</v>
      </c>
      <c r="U629" s="80">
        <v>81753.173721494197</v>
      </c>
      <c r="V629" s="73"/>
      <c r="X629" s="30"/>
      <c r="Y629" s="54">
        <v>620</v>
      </c>
      <c r="Z629" s="70">
        <v>32336.650000000023</v>
      </c>
      <c r="AA629" s="75">
        <v>8981</v>
      </c>
      <c r="AB629" s="75">
        <v>7285.23</v>
      </c>
      <c r="AC629" s="75">
        <v>73661.77</v>
      </c>
      <c r="AD629" s="194">
        <v>311604.65000000002</v>
      </c>
      <c r="AE629" s="194">
        <v>7047.35</v>
      </c>
      <c r="AF629" s="76">
        <v>0.09</v>
      </c>
      <c r="AG629" s="70">
        <v>3143.3500000000008</v>
      </c>
      <c r="AH629" s="31"/>
    </row>
    <row r="630" spans="3:34" x14ac:dyDescent="0.25">
      <c r="C630" s="72"/>
      <c r="D630" s="54">
        <v>621</v>
      </c>
      <c r="E630" s="70">
        <v>58351.91</v>
      </c>
      <c r="F630" s="75">
        <v>6809</v>
      </c>
      <c r="G630" s="75">
        <v>91295</v>
      </c>
      <c r="H630" s="194">
        <v>343364</v>
      </c>
      <c r="I630" s="194">
        <v>12791.44</v>
      </c>
      <c r="J630" s="75">
        <v>81753.173721494197</v>
      </c>
      <c r="K630" s="73"/>
      <c r="M630" s="72"/>
      <c r="N630" s="54">
        <v>621</v>
      </c>
      <c r="O630" s="70">
        <v>91583.354999999981</v>
      </c>
      <c r="P630" s="75">
        <v>11842</v>
      </c>
      <c r="Q630" s="75">
        <v>94437</v>
      </c>
      <c r="R630" s="194">
        <v>370525.85499999998</v>
      </c>
      <c r="S630" s="194">
        <v>6721.85</v>
      </c>
      <c r="T630" s="70">
        <v>1450.6450000000007</v>
      </c>
      <c r="U630" s="80">
        <v>81753.173721494197</v>
      </c>
      <c r="V630" s="73"/>
      <c r="X630" s="30"/>
      <c r="Y630" s="54">
        <v>621</v>
      </c>
      <c r="Z630" s="70">
        <v>31023.849999999988</v>
      </c>
      <c r="AA630" s="75">
        <v>13357</v>
      </c>
      <c r="AB630" s="75">
        <v>6125.68</v>
      </c>
      <c r="AC630" s="75">
        <v>70445.320000000007</v>
      </c>
      <c r="AD630" s="194">
        <v>310073.05</v>
      </c>
      <c r="AE630" s="194">
        <v>6828.55</v>
      </c>
      <c r="AF630" s="76">
        <v>0.08</v>
      </c>
      <c r="AG630" s="70">
        <v>4674.9500000000016</v>
      </c>
      <c r="AH630" s="31"/>
    </row>
    <row r="631" spans="3:34" x14ac:dyDescent="0.25">
      <c r="C631" s="72"/>
      <c r="D631" s="54">
        <v>622</v>
      </c>
      <c r="E631" s="70">
        <v>44493.59</v>
      </c>
      <c r="F631" s="75">
        <v>5739</v>
      </c>
      <c r="G631" s="75">
        <v>88277</v>
      </c>
      <c r="H631" s="194">
        <v>329056</v>
      </c>
      <c r="I631" s="194">
        <v>12341.76</v>
      </c>
      <c r="J631" s="75">
        <v>81753.173721494197</v>
      </c>
      <c r="K631" s="73"/>
      <c r="M631" s="72"/>
      <c r="N631" s="54">
        <v>622</v>
      </c>
      <c r="O631" s="70">
        <v>49390.119999999981</v>
      </c>
      <c r="P631" s="75">
        <v>10268</v>
      </c>
      <c r="Q631" s="75">
        <v>83748</v>
      </c>
      <c r="R631" s="194">
        <v>327798.17</v>
      </c>
      <c r="S631" s="194">
        <v>6187.4000000000005</v>
      </c>
      <c r="T631" s="70">
        <v>1257.8300000000006</v>
      </c>
      <c r="U631" s="80">
        <v>81753.173721494197</v>
      </c>
      <c r="V631" s="73"/>
      <c r="X631" s="30"/>
      <c r="Y631" s="54">
        <v>622</v>
      </c>
      <c r="Z631" s="70">
        <v>31732.150000000023</v>
      </c>
      <c r="AA631" s="75">
        <v>10996</v>
      </c>
      <c r="AB631" s="75">
        <v>3946.6000000000004</v>
      </c>
      <c r="AC631" s="75">
        <v>74985.399999999994</v>
      </c>
      <c r="AD631" s="194">
        <v>310899.40000000002</v>
      </c>
      <c r="AE631" s="194">
        <v>6946.6</v>
      </c>
      <c r="AF631" s="76">
        <v>0.05</v>
      </c>
      <c r="AG631" s="70">
        <v>3848.6000000000008</v>
      </c>
      <c r="AH631" s="31"/>
    </row>
    <row r="632" spans="3:34" x14ac:dyDescent="0.25">
      <c r="C632" s="72"/>
      <c r="D632" s="54">
        <v>623</v>
      </c>
      <c r="E632" s="70">
        <v>44493.59</v>
      </c>
      <c r="F632" s="75">
        <v>9480</v>
      </c>
      <c r="G632" s="75">
        <v>84536</v>
      </c>
      <c r="H632" s="194">
        <v>329056</v>
      </c>
      <c r="I632" s="194">
        <v>12341.76</v>
      </c>
      <c r="J632" s="75">
        <v>81753.173721494197</v>
      </c>
      <c r="K632" s="73"/>
      <c r="M632" s="72"/>
      <c r="N632" s="54">
        <v>623</v>
      </c>
      <c r="O632" s="70">
        <v>35049.372499999976</v>
      </c>
      <c r="P632" s="75">
        <v>13539</v>
      </c>
      <c r="Q632" s="75">
        <v>76389</v>
      </c>
      <c r="R632" s="194">
        <v>313089.47249999997</v>
      </c>
      <c r="S632" s="194">
        <v>5819.4500000000007</v>
      </c>
      <c r="T632" s="70">
        <v>1658.5275000000008</v>
      </c>
      <c r="U632" s="80">
        <v>81753.173721494197</v>
      </c>
      <c r="V632" s="73"/>
      <c r="X632" s="30"/>
      <c r="Y632" s="54">
        <v>623</v>
      </c>
      <c r="Z632" s="70">
        <v>46287.250000000022</v>
      </c>
      <c r="AA632" s="75">
        <v>9491</v>
      </c>
      <c r="AB632" s="75">
        <v>7607.25</v>
      </c>
      <c r="AC632" s="75">
        <v>76917.75</v>
      </c>
      <c r="AD632" s="194">
        <v>325734.15000000002</v>
      </c>
      <c r="AE632" s="194">
        <v>7226.25</v>
      </c>
      <c r="AF632" s="76">
        <v>0.09</v>
      </c>
      <c r="AG632" s="70">
        <v>3321.8500000000008</v>
      </c>
      <c r="AH632" s="31"/>
    </row>
    <row r="633" spans="3:34" x14ac:dyDescent="0.25">
      <c r="C633" s="72"/>
      <c r="D633" s="54">
        <v>624</v>
      </c>
      <c r="E633" s="70">
        <v>30635.27</v>
      </c>
      <c r="F633" s="75">
        <v>9036</v>
      </c>
      <c r="G633" s="75">
        <v>80892</v>
      </c>
      <c r="H633" s="194">
        <v>314748</v>
      </c>
      <c r="I633" s="194">
        <v>11892.08</v>
      </c>
      <c r="J633" s="75">
        <v>81753.173721494197</v>
      </c>
      <c r="K633" s="73"/>
      <c r="M633" s="72"/>
      <c r="N633" s="54">
        <v>624</v>
      </c>
      <c r="O633" s="70">
        <v>63527.287500000013</v>
      </c>
      <c r="P633" s="75">
        <v>9805</v>
      </c>
      <c r="Q633" s="75">
        <v>88299</v>
      </c>
      <c r="R633" s="194">
        <v>342162.88750000001</v>
      </c>
      <c r="S633" s="194">
        <v>6414.95</v>
      </c>
      <c r="T633" s="70">
        <v>1201.1125000000004</v>
      </c>
      <c r="U633" s="80">
        <v>81753.173721494197</v>
      </c>
      <c r="V633" s="73"/>
      <c r="X633" s="30"/>
      <c r="Y633" s="54">
        <v>624</v>
      </c>
      <c r="Z633" s="70">
        <v>32375.05000000001</v>
      </c>
      <c r="AA633" s="75">
        <v>8853</v>
      </c>
      <c r="AB633" s="75">
        <v>7296.75</v>
      </c>
      <c r="AC633" s="75">
        <v>73778.25</v>
      </c>
      <c r="AD633" s="194">
        <v>311649.45</v>
      </c>
      <c r="AE633" s="194">
        <v>7053.75</v>
      </c>
      <c r="AF633" s="76">
        <v>0.09</v>
      </c>
      <c r="AG633" s="70">
        <v>3098.5500000000006</v>
      </c>
      <c r="AH633" s="31"/>
    </row>
    <row r="634" spans="3:34" x14ac:dyDescent="0.25">
      <c r="C634" s="72"/>
      <c r="D634" s="54">
        <v>625</v>
      </c>
      <c r="E634" s="70">
        <v>30635.27</v>
      </c>
      <c r="F634" s="75">
        <v>4451</v>
      </c>
      <c r="G634" s="75">
        <v>85477</v>
      </c>
      <c r="H634" s="194">
        <v>314748</v>
      </c>
      <c r="I634" s="194">
        <v>11892.08</v>
      </c>
      <c r="J634" s="75">
        <v>81753.173721494197</v>
      </c>
      <c r="K634" s="73"/>
      <c r="M634" s="72"/>
      <c r="N634" s="54">
        <v>625</v>
      </c>
      <c r="O634" s="70">
        <v>35383.307500000017</v>
      </c>
      <c r="P634" s="75">
        <v>8933</v>
      </c>
      <c r="Q634" s="75">
        <v>80995</v>
      </c>
      <c r="R634" s="194">
        <v>313653.70750000002</v>
      </c>
      <c r="S634" s="194">
        <v>6049.75</v>
      </c>
      <c r="T634" s="70">
        <v>1094.2925000000005</v>
      </c>
      <c r="U634" s="80">
        <v>81753.173721494197</v>
      </c>
      <c r="V634" s="73"/>
      <c r="X634" s="30"/>
      <c r="Y634" s="54">
        <v>625</v>
      </c>
      <c r="Z634" s="70">
        <v>31514.95</v>
      </c>
      <c r="AA634" s="75">
        <v>11720</v>
      </c>
      <c r="AB634" s="75">
        <v>7038.7199999999993</v>
      </c>
      <c r="AC634" s="75">
        <v>71169.279999999999</v>
      </c>
      <c r="AD634" s="194">
        <v>310646</v>
      </c>
      <c r="AE634" s="194">
        <v>6910.4</v>
      </c>
      <c r="AF634" s="76">
        <v>0.09</v>
      </c>
      <c r="AG634" s="70">
        <v>4102.0000000000009</v>
      </c>
      <c r="AH634" s="31"/>
    </row>
    <row r="635" spans="3:34" x14ac:dyDescent="0.25">
      <c r="C635" s="72"/>
      <c r="D635" s="54">
        <v>626</v>
      </c>
      <c r="E635" s="70">
        <v>44493.59</v>
      </c>
      <c r="F635" s="75">
        <v>4851</v>
      </c>
      <c r="G635" s="75">
        <v>89165</v>
      </c>
      <c r="H635" s="194">
        <v>329056</v>
      </c>
      <c r="I635" s="194">
        <v>12341.76</v>
      </c>
      <c r="J635" s="75">
        <v>81753.173721494197</v>
      </c>
      <c r="K635" s="73"/>
      <c r="M635" s="72"/>
      <c r="N635" s="54">
        <v>626</v>
      </c>
      <c r="O635" s="70">
        <v>63161.88749999999</v>
      </c>
      <c r="P635" s="75">
        <v>14845</v>
      </c>
      <c r="Q635" s="75">
        <v>83259</v>
      </c>
      <c r="R635" s="194">
        <v>341545.48749999999</v>
      </c>
      <c r="S635" s="194">
        <v>6162.95</v>
      </c>
      <c r="T635" s="70">
        <v>1818.5125000000007</v>
      </c>
      <c r="U635" s="80">
        <v>81753.173721494197</v>
      </c>
      <c r="V635" s="73"/>
      <c r="X635" s="30"/>
      <c r="Y635" s="54">
        <v>626</v>
      </c>
      <c r="Z635" s="70">
        <v>45738.849999999977</v>
      </c>
      <c r="AA635" s="75">
        <v>11319</v>
      </c>
      <c r="AB635" s="75">
        <v>5788.7900000000009</v>
      </c>
      <c r="AC635" s="75">
        <v>76908.209999999992</v>
      </c>
      <c r="AD635" s="194">
        <v>325094.34999999998</v>
      </c>
      <c r="AE635" s="194">
        <v>7134.85</v>
      </c>
      <c r="AF635" s="76">
        <v>7.0000000000000007E-2</v>
      </c>
      <c r="AG635" s="70">
        <v>3961.650000000001</v>
      </c>
      <c r="AH635" s="31"/>
    </row>
    <row r="636" spans="3:34" x14ac:dyDescent="0.25">
      <c r="C636" s="72"/>
      <c r="D636" s="54">
        <v>627</v>
      </c>
      <c r="E636" s="70">
        <v>44493.59</v>
      </c>
      <c r="F636" s="75">
        <v>5683</v>
      </c>
      <c r="G636" s="75">
        <v>88333</v>
      </c>
      <c r="H636" s="194">
        <v>329056</v>
      </c>
      <c r="I636" s="194">
        <v>12341.76</v>
      </c>
      <c r="J636" s="75">
        <v>81753.173721494197</v>
      </c>
      <c r="K636" s="73"/>
      <c r="M636" s="72"/>
      <c r="N636" s="54">
        <v>627</v>
      </c>
      <c r="O636" s="70">
        <v>63384.462500000001</v>
      </c>
      <c r="P636" s="75">
        <v>11775</v>
      </c>
      <c r="Q636" s="75">
        <v>86329</v>
      </c>
      <c r="R636" s="194">
        <v>341921.5625</v>
      </c>
      <c r="S636" s="194">
        <v>6316.45</v>
      </c>
      <c r="T636" s="70">
        <v>1442.4375000000007</v>
      </c>
      <c r="U636" s="80">
        <v>81753.173721494197</v>
      </c>
      <c r="V636" s="73"/>
      <c r="X636" s="30"/>
      <c r="Y636" s="54">
        <v>627</v>
      </c>
      <c r="Z636" s="70">
        <v>45105.55</v>
      </c>
      <c r="AA636" s="75">
        <v>13430</v>
      </c>
      <c r="AB636" s="75">
        <v>6446.88</v>
      </c>
      <c r="AC636" s="75">
        <v>74139.12</v>
      </c>
      <c r="AD636" s="194">
        <v>324355.5</v>
      </c>
      <c r="AE636" s="194">
        <v>7029.3</v>
      </c>
      <c r="AF636" s="76">
        <v>0.08</v>
      </c>
      <c r="AG636" s="70">
        <v>4700.5000000000009</v>
      </c>
      <c r="AH636" s="31"/>
    </row>
    <row r="637" spans="3:34" x14ac:dyDescent="0.25">
      <c r="C637" s="72"/>
      <c r="D637" s="54">
        <v>628</v>
      </c>
      <c r="E637" s="70">
        <v>30635.27</v>
      </c>
      <c r="F637" s="75">
        <v>5400</v>
      </c>
      <c r="G637" s="75">
        <v>84528</v>
      </c>
      <c r="H637" s="194">
        <v>314748</v>
      </c>
      <c r="I637" s="194">
        <v>11892.08</v>
      </c>
      <c r="J637" s="75">
        <v>81753.173721494197</v>
      </c>
      <c r="K637" s="73"/>
      <c r="M637" s="72"/>
      <c r="N637" s="54">
        <v>628</v>
      </c>
      <c r="O637" s="70">
        <v>49457.182499999981</v>
      </c>
      <c r="P637" s="75">
        <v>9343</v>
      </c>
      <c r="Q637" s="75">
        <v>84673</v>
      </c>
      <c r="R637" s="194">
        <v>327911.48249999998</v>
      </c>
      <c r="S637" s="194">
        <v>6233.6500000000005</v>
      </c>
      <c r="T637" s="70">
        <v>1144.5175000000006</v>
      </c>
      <c r="U637" s="80">
        <v>81753.173721494197</v>
      </c>
      <c r="V637" s="73"/>
      <c r="X637" s="30"/>
      <c r="Y637" s="54">
        <v>628</v>
      </c>
      <c r="Z637" s="70">
        <v>32066.349999999988</v>
      </c>
      <c r="AA637" s="75">
        <v>9882</v>
      </c>
      <c r="AB637" s="75">
        <v>8004.6</v>
      </c>
      <c r="AC637" s="75">
        <v>72041.399999999994</v>
      </c>
      <c r="AD637" s="194">
        <v>311289.3</v>
      </c>
      <c r="AE637" s="194">
        <v>7002.3</v>
      </c>
      <c r="AF637" s="76">
        <v>0.1</v>
      </c>
      <c r="AG637" s="70">
        <v>3458.7000000000007</v>
      </c>
      <c r="AH637" s="31"/>
    </row>
    <row r="638" spans="3:34" x14ac:dyDescent="0.25">
      <c r="C638" s="72"/>
      <c r="D638" s="54">
        <v>629</v>
      </c>
      <c r="E638" s="70">
        <v>44493.59</v>
      </c>
      <c r="F638" s="75">
        <v>5643</v>
      </c>
      <c r="G638" s="75">
        <v>88373</v>
      </c>
      <c r="H638" s="194">
        <v>329056</v>
      </c>
      <c r="I638" s="194">
        <v>12341.76</v>
      </c>
      <c r="J638" s="75">
        <v>81753.173721494197</v>
      </c>
      <c r="K638" s="73"/>
      <c r="M638" s="72"/>
      <c r="N638" s="54">
        <v>629</v>
      </c>
      <c r="O638" s="70">
        <v>49307.832500000004</v>
      </c>
      <c r="P638" s="75">
        <v>11403</v>
      </c>
      <c r="Q638" s="75">
        <v>82613</v>
      </c>
      <c r="R638" s="194">
        <v>327659.13250000001</v>
      </c>
      <c r="S638" s="194">
        <v>6130.6500000000005</v>
      </c>
      <c r="T638" s="70">
        <v>1396.8675000000005</v>
      </c>
      <c r="U638" s="80">
        <v>81753.173721494197</v>
      </c>
      <c r="V638" s="73"/>
      <c r="X638" s="30"/>
      <c r="Y638" s="54">
        <v>629</v>
      </c>
      <c r="Z638" s="70">
        <v>87603.699999999983</v>
      </c>
      <c r="AA638" s="75">
        <v>12794</v>
      </c>
      <c r="AB638" s="75">
        <v>5609.0999999999995</v>
      </c>
      <c r="AC638" s="75">
        <v>87875.9</v>
      </c>
      <c r="AD638" s="194">
        <v>367498.6</v>
      </c>
      <c r="AE638" s="194">
        <v>7674.25</v>
      </c>
      <c r="AF638" s="76">
        <v>0.06</v>
      </c>
      <c r="AG638" s="70">
        <v>4477.9000000000015</v>
      </c>
      <c r="AH638" s="31"/>
    </row>
    <row r="639" spans="3:34" x14ac:dyDescent="0.25">
      <c r="C639" s="72"/>
      <c r="D639" s="54">
        <v>630</v>
      </c>
      <c r="E639" s="70">
        <v>30635.27</v>
      </c>
      <c r="F639" s="75">
        <v>4570</v>
      </c>
      <c r="G639" s="75">
        <v>85358</v>
      </c>
      <c r="H639" s="194">
        <v>314748</v>
      </c>
      <c r="I639" s="194">
        <v>11892.08</v>
      </c>
      <c r="J639" s="75">
        <v>81753.173721494197</v>
      </c>
      <c r="K639" s="73"/>
      <c r="M639" s="72"/>
      <c r="N639" s="54">
        <v>630</v>
      </c>
      <c r="O639" s="70">
        <v>63523.517500000016</v>
      </c>
      <c r="P639" s="75">
        <v>9857</v>
      </c>
      <c r="Q639" s="75">
        <v>88247</v>
      </c>
      <c r="R639" s="194">
        <v>342156.51750000002</v>
      </c>
      <c r="S639" s="194">
        <v>6412.35</v>
      </c>
      <c r="T639" s="70">
        <v>1207.4825000000005</v>
      </c>
      <c r="U639" s="80">
        <v>81753.173721494197</v>
      </c>
      <c r="V639" s="73"/>
      <c r="X639" s="30"/>
      <c r="Y639" s="54">
        <v>630</v>
      </c>
      <c r="Z639" s="70">
        <v>32085.55000000001</v>
      </c>
      <c r="AA639" s="75">
        <v>9818</v>
      </c>
      <c r="AB639" s="75">
        <v>4806.5999999999995</v>
      </c>
      <c r="AC639" s="75">
        <v>75303.399999999994</v>
      </c>
      <c r="AD639" s="194">
        <v>311311.7</v>
      </c>
      <c r="AE639" s="194">
        <v>7005.5</v>
      </c>
      <c r="AF639" s="76">
        <v>0.06</v>
      </c>
      <c r="AG639" s="70">
        <v>3436.3000000000011</v>
      </c>
      <c r="AH639" s="31"/>
    </row>
    <row r="640" spans="3:34" x14ac:dyDescent="0.25">
      <c r="C640" s="72"/>
      <c r="D640" s="54">
        <v>631</v>
      </c>
      <c r="E640" s="70">
        <v>44493.59</v>
      </c>
      <c r="F640" s="75">
        <v>6351</v>
      </c>
      <c r="G640" s="75">
        <v>87665</v>
      </c>
      <c r="H640" s="194">
        <v>329056</v>
      </c>
      <c r="I640" s="194">
        <v>12341.76</v>
      </c>
      <c r="J640" s="75">
        <v>81753.173721494197</v>
      </c>
      <c r="K640" s="73"/>
      <c r="M640" s="72"/>
      <c r="N640" s="54">
        <v>631</v>
      </c>
      <c r="O640" s="70">
        <v>49314.937500000015</v>
      </c>
      <c r="P640" s="75">
        <v>11305</v>
      </c>
      <c r="Q640" s="75">
        <v>82711</v>
      </c>
      <c r="R640" s="194">
        <v>327671.13750000001</v>
      </c>
      <c r="S640" s="194">
        <v>6135.55</v>
      </c>
      <c r="T640" s="70">
        <v>1384.8625000000006</v>
      </c>
      <c r="U640" s="80">
        <v>81753.173721494197</v>
      </c>
      <c r="V640" s="73"/>
      <c r="X640" s="30"/>
      <c r="Y640" s="54">
        <v>631</v>
      </c>
      <c r="Z640" s="70">
        <v>44961.250000000022</v>
      </c>
      <c r="AA640" s="75">
        <v>13911</v>
      </c>
      <c r="AB640" s="75">
        <v>7209.45</v>
      </c>
      <c r="AC640" s="75">
        <v>72895.55</v>
      </c>
      <c r="AD640" s="194">
        <v>324187.15000000002</v>
      </c>
      <c r="AE640" s="194">
        <v>7005.25</v>
      </c>
      <c r="AF640" s="76">
        <v>0.09</v>
      </c>
      <c r="AG640" s="70">
        <v>4868.8500000000013</v>
      </c>
      <c r="AH640" s="31"/>
    </row>
    <row r="641" spans="3:34" x14ac:dyDescent="0.25">
      <c r="C641" s="72"/>
      <c r="D641" s="54">
        <v>632</v>
      </c>
      <c r="E641" s="70">
        <v>30635.27</v>
      </c>
      <c r="F641" s="75">
        <v>4406</v>
      </c>
      <c r="G641" s="75">
        <v>85522</v>
      </c>
      <c r="H641" s="194">
        <v>314748</v>
      </c>
      <c r="I641" s="194">
        <v>11892.08</v>
      </c>
      <c r="J641" s="75">
        <v>81753.173721494197</v>
      </c>
      <c r="K641" s="73"/>
      <c r="M641" s="72"/>
      <c r="N641" s="54">
        <v>632</v>
      </c>
      <c r="O641" s="70">
        <v>49379.317499999983</v>
      </c>
      <c r="P641" s="75">
        <v>10417</v>
      </c>
      <c r="Q641" s="75">
        <v>83599</v>
      </c>
      <c r="R641" s="194">
        <v>327779.91749999998</v>
      </c>
      <c r="S641" s="194">
        <v>6179.95</v>
      </c>
      <c r="T641" s="70">
        <v>1276.0825000000007</v>
      </c>
      <c r="U641" s="80">
        <v>81753.173721494197</v>
      </c>
      <c r="V641" s="73"/>
      <c r="X641" s="30"/>
      <c r="Y641" s="54">
        <v>632</v>
      </c>
      <c r="Z641" s="70">
        <v>60010.449999999975</v>
      </c>
      <c r="AA641" s="75">
        <v>10759</v>
      </c>
      <c r="AB641" s="75">
        <v>8734.5</v>
      </c>
      <c r="AC641" s="75">
        <v>78610.5</v>
      </c>
      <c r="AD641" s="194">
        <v>339598.35</v>
      </c>
      <c r="AE641" s="194">
        <v>7367.25</v>
      </c>
      <c r="AF641" s="76">
        <v>0.1</v>
      </c>
      <c r="AG641" s="70">
        <v>3765.650000000001</v>
      </c>
      <c r="AH641" s="31"/>
    </row>
    <row r="642" spans="3:34" x14ac:dyDescent="0.25">
      <c r="C642" s="72"/>
      <c r="D642" s="54">
        <v>633</v>
      </c>
      <c r="E642" s="70">
        <v>44493.59</v>
      </c>
      <c r="F642" s="75">
        <v>8393</v>
      </c>
      <c r="G642" s="75">
        <v>85623</v>
      </c>
      <c r="H642" s="194">
        <v>329056</v>
      </c>
      <c r="I642" s="194">
        <v>12341.76</v>
      </c>
      <c r="J642" s="75">
        <v>81753.173721494197</v>
      </c>
      <c r="K642" s="73"/>
      <c r="M642" s="72"/>
      <c r="N642" s="54">
        <v>633</v>
      </c>
      <c r="O642" s="70">
        <v>63234.025000000001</v>
      </c>
      <c r="P642" s="75">
        <v>13850</v>
      </c>
      <c r="Q642" s="75">
        <v>84254</v>
      </c>
      <c r="R642" s="194">
        <v>341667.375</v>
      </c>
      <c r="S642" s="194">
        <v>6212.7</v>
      </c>
      <c r="T642" s="70">
        <v>1696.6250000000007</v>
      </c>
      <c r="U642" s="80">
        <v>81753.173721494197</v>
      </c>
      <c r="V642" s="73"/>
      <c r="X642" s="30"/>
      <c r="Y642" s="54">
        <v>633</v>
      </c>
      <c r="Z642" s="70">
        <v>46033.44999999999</v>
      </c>
      <c r="AA642" s="75">
        <v>10337</v>
      </c>
      <c r="AB642" s="75">
        <v>5020.74</v>
      </c>
      <c r="AC642" s="75">
        <v>78658.259999999995</v>
      </c>
      <c r="AD642" s="194">
        <v>325438.05</v>
      </c>
      <c r="AE642" s="194">
        <v>7183.95</v>
      </c>
      <c r="AF642" s="76">
        <v>0.06</v>
      </c>
      <c r="AG642" s="70">
        <v>3617.9500000000007</v>
      </c>
      <c r="AH642" s="31"/>
    </row>
    <row r="643" spans="3:34" x14ac:dyDescent="0.25">
      <c r="C643" s="72"/>
      <c r="D643" s="54">
        <v>634</v>
      </c>
      <c r="E643" s="70">
        <v>86065.16</v>
      </c>
      <c r="F643" s="75">
        <v>10612</v>
      </c>
      <c r="G643" s="75">
        <v>95667</v>
      </c>
      <c r="H643" s="194">
        <v>371976.5</v>
      </c>
      <c r="I643" s="194">
        <v>13690.69</v>
      </c>
      <c r="J643" s="75">
        <v>81753.173721494197</v>
      </c>
      <c r="K643" s="73"/>
      <c r="M643" s="72"/>
      <c r="N643" s="54">
        <v>634</v>
      </c>
      <c r="O643" s="70">
        <v>49184.365000000013</v>
      </c>
      <c r="P643" s="75">
        <v>13106</v>
      </c>
      <c r="Q643" s="75">
        <v>80910</v>
      </c>
      <c r="R643" s="194">
        <v>327450.51500000001</v>
      </c>
      <c r="S643" s="194">
        <v>6045.5</v>
      </c>
      <c r="T643" s="70">
        <v>1605.4850000000008</v>
      </c>
      <c r="U643" s="80">
        <v>81753.173721494197</v>
      </c>
      <c r="V643" s="73"/>
      <c r="X643" s="30"/>
      <c r="Y643" s="54">
        <v>634</v>
      </c>
      <c r="Z643" s="70">
        <v>31505.349999999988</v>
      </c>
      <c r="AA643" s="75">
        <v>11752</v>
      </c>
      <c r="AB643" s="75">
        <v>3908.8</v>
      </c>
      <c r="AC643" s="75">
        <v>74267.199999999997</v>
      </c>
      <c r="AD643" s="194">
        <v>310634.8</v>
      </c>
      <c r="AE643" s="194">
        <v>6908.8</v>
      </c>
      <c r="AF643" s="76">
        <v>0.05</v>
      </c>
      <c r="AG643" s="70">
        <v>4113.2000000000007</v>
      </c>
      <c r="AH643" s="31"/>
    </row>
    <row r="644" spans="3:34" x14ac:dyDescent="0.25">
      <c r="C644" s="72"/>
      <c r="D644" s="54">
        <v>635</v>
      </c>
      <c r="E644" s="70">
        <v>58351.91</v>
      </c>
      <c r="F644" s="75">
        <v>9897</v>
      </c>
      <c r="G644" s="75">
        <v>88207</v>
      </c>
      <c r="H644" s="194">
        <v>343364</v>
      </c>
      <c r="I644" s="194">
        <v>12791.44</v>
      </c>
      <c r="J644" s="75">
        <v>81753.173721494197</v>
      </c>
      <c r="K644" s="73"/>
      <c r="M644" s="72"/>
      <c r="N644" s="54">
        <v>635</v>
      </c>
      <c r="O644" s="70">
        <v>91431.32249999998</v>
      </c>
      <c r="P644" s="75">
        <v>13939</v>
      </c>
      <c r="Q644" s="75">
        <v>92340</v>
      </c>
      <c r="R644" s="194">
        <v>370268.97249999997</v>
      </c>
      <c r="S644" s="194">
        <v>6617</v>
      </c>
      <c r="T644" s="70">
        <v>1707.5275000000008</v>
      </c>
      <c r="U644" s="80">
        <v>81753.173721494197</v>
      </c>
      <c r="V644" s="73"/>
      <c r="X644" s="30"/>
      <c r="Y644" s="54">
        <v>635</v>
      </c>
      <c r="Z644" s="70">
        <v>88289.500000000015</v>
      </c>
      <c r="AA644" s="75">
        <v>10508</v>
      </c>
      <c r="AB644" s="75">
        <v>5746.26</v>
      </c>
      <c r="AC644" s="75">
        <v>90024.74</v>
      </c>
      <c r="AD644" s="194">
        <v>368298.7</v>
      </c>
      <c r="AE644" s="194">
        <v>7788.55</v>
      </c>
      <c r="AF644" s="76">
        <v>0.06</v>
      </c>
      <c r="AG644" s="70">
        <v>3677.8000000000011</v>
      </c>
      <c r="AH644" s="31"/>
    </row>
    <row r="645" spans="3:34" x14ac:dyDescent="0.25">
      <c r="C645" s="72"/>
      <c r="D645" s="54">
        <v>636</v>
      </c>
      <c r="E645" s="70">
        <v>44493.59</v>
      </c>
      <c r="F645" s="75">
        <v>5480</v>
      </c>
      <c r="G645" s="75">
        <v>88536</v>
      </c>
      <c r="H645" s="194">
        <v>329056</v>
      </c>
      <c r="I645" s="194">
        <v>12341.76</v>
      </c>
      <c r="J645" s="75">
        <v>81753.173721494197</v>
      </c>
      <c r="K645" s="73"/>
      <c r="M645" s="72"/>
      <c r="N645" s="54">
        <v>636</v>
      </c>
      <c r="O645" s="70">
        <v>49250.992500000029</v>
      </c>
      <c r="P645" s="75">
        <v>12187</v>
      </c>
      <c r="Q645" s="75">
        <v>81829</v>
      </c>
      <c r="R645" s="194">
        <v>327563.09250000003</v>
      </c>
      <c r="S645" s="194">
        <v>6091.4500000000007</v>
      </c>
      <c r="T645" s="70">
        <v>1492.9075000000007</v>
      </c>
      <c r="U645" s="80">
        <v>81753.173721494197</v>
      </c>
      <c r="V645" s="73"/>
      <c r="X645" s="30"/>
      <c r="Y645" s="54">
        <v>636</v>
      </c>
      <c r="Z645" s="70">
        <v>88276.9</v>
      </c>
      <c r="AA645" s="75">
        <v>10550</v>
      </c>
      <c r="AB645" s="75">
        <v>8615.61</v>
      </c>
      <c r="AC645" s="75">
        <v>87113.39</v>
      </c>
      <c r="AD645" s="194">
        <v>368284</v>
      </c>
      <c r="AE645" s="194">
        <v>7786.45</v>
      </c>
      <c r="AF645" s="76">
        <v>0.09</v>
      </c>
      <c r="AG645" s="70">
        <v>3692.5000000000009</v>
      </c>
      <c r="AH645" s="31"/>
    </row>
    <row r="646" spans="3:34" x14ac:dyDescent="0.25">
      <c r="C646" s="72"/>
      <c r="D646" s="54">
        <v>637</v>
      </c>
      <c r="E646" s="70">
        <v>30635.27</v>
      </c>
      <c r="F646" s="75">
        <v>7106</v>
      </c>
      <c r="G646" s="75">
        <v>82822</v>
      </c>
      <c r="H646" s="194">
        <v>314748</v>
      </c>
      <c r="I646" s="194">
        <v>11892.08</v>
      </c>
      <c r="J646" s="75">
        <v>81753.173721494197</v>
      </c>
      <c r="K646" s="73"/>
      <c r="M646" s="72"/>
      <c r="N646" s="54">
        <v>637</v>
      </c>
      <c r="O646" s="70">
        <v>35315.374999999985</v>
      </c>
      <c r="P646" s="75">
        <v>9870</v>
      </c>
      <c r="Q646" s="75">
        <v>80058</v>
      </c>
      <c r="R646" s="194">
        <v>313538.92499999999</v>
      </c>
      <c r="S646" s="194">
        <v>6002.9</v>
      </c>
      <c r="T646" s="70">
        <v>1209.0750000000005</v>
      </c>
      <c r="U646" s="80">
        <v>81753.173721494197</v>
      </c>
      <c r="V646" s="73"/>
      <c r="X646" s="30"/>
      <c r="Y646" s="54">
        <v>637</v>
      </c>
      <c r="Z646" s="70">
        <v>45771.55</v>
      </c>
      <c r="AA646" s="75">
        <v>11210</v>
      </c>
      <c r="AB646" s="75">
        <v>6624.4800000000005</v>
      </c>
      <c r="AC646" s="75">
        <v>76181.52</v>
      </c>
      <c r="AD646" s="194">
        <v>325132.5</v>
      </c>
      <c r="AE646" s="194">
        <v>7140.3</v>
      </c>
      <c r="AF646" s="76">
        <v>0.08</v>
      </c>
      <c r="AG646" s="70">
        <v>3923.5000000000009</v>
      </c>
      <c r="AH646" s="31"/>
    </row>
    <row r="647" spans="3:34" x14ac:dyDescent="0.25">
      <c r="C647" s="72"/>
      <c r="D647" s="54">
        <v>638</v>
      </c>
      <c r="E647" s="70">
        <v>58351.91</v>
      </c>
      <c r="F647" s="75">
        <v>5023</v>
      </c>
      <c r="G647" s="75">
        <v>93081</v>
      </c>
      <c r="H647" s="194">
        <v>343364</v>
      </c>
      <c r="I647" s="194">
        <v>12791.44</v>
      </c>
      <c r="J647" s="75">
        <v>81753.173721494197</v>
      </c>
      <c r="K647" s="73"/>
      <c r="M647" s="72"/>
      <c r="N647" s="54">
        <v>638</v>
      </c>
      <c r="O647" s="70">
        <v>35189.297500000022</v>
      </c>
      <c r="P647" s="75">
        <v>11609</v>
      </c>
      <c r="Q647" s="75">
        <v>78319</v>
      </c>
      <c r="R647" s="194">
        <v>313325.89750000002</v>
      </c>
      <c r="S647" s="194">
        <v>5915.9500000000007</v>
      </c>
      <c r="T647" s="70">
        <v>1422.1025000000006</v>
      </c>
      <c r="U647" s="80">
        <v>81753.173721494197</v>
      </c>
      <c r="V647" s="73"/>
      <c r="X647" s="30"/>
      <c r="Y647" s="54">
        <v>638</v>
      </c>
      <c r="Z647" s="70">
        <v>59470.449999999975</v>
      </c>
      <c r="AA647" s="75">
        <v>12559</v>
      </c>
      <c r="AB647" s="75">
        <v>7699.0499999999993</v>
      </c>
      <c r="AC647" s="75">
        <v>77845.95</v>
      </c>
      <c r="AD647" s="194">
        <v>338968.35</v>
      </c>
      <c r="AE647" s="194">
        <v>7277.25</v>
      </c>
      <c r="AF647" s="76">
        <v>0.09</v>
      </c>
      <c r="AG647" s="70">
        <v>4395.6500000000015</v>
      </c>
      <c r="AH647" s="31"/>
    </row>
    <row r="648" spans="3:34" x14ac:dyDescent="0.25">
      <c r="C648" s="72"/>
      <c r="D648" s="54">
        <v>639</v>
      </c>
      <c r="E648" s="70">
        <v>30635.27</v>
      </c>
      <c r="F648" s="75">
        <v>8995</v>
      </c>
      <c r="G648" s="75">
        <v>80933</v>
      </c>
      <c r="H648" s="194">
        <v>314748</v>
      </c>
      <c r="I648" s="194">
        <v>11892.08</v>
      </c>
      <c r="J648" s="75">
        <v>81753.173721494197</v>
      </c>
      <c r="K648" s="73"/>
      <c r="M648" s="72"/>
      <c r="N648" s="54">
        <v>639</v>
      </c>
      <c r="O648" s="70">
        <v>63172.617499999993</v>
      </c>
      <c r="P648" s="75">
        <v>14697</v>
      </c>
      <c r="Q648" s="75">
        <v>83407</v>
      </c>
      <c r="R648" s="194">
        <v>341563.61749999999</v>
      </c>
      <c r="S648" s="194">
        <v>6170.35</v>
      </c>
      <c r="T648" s="70">
        <v>1800.3825000000008</v>
      </c>
      <c r="U648" s="80">
        <v>81753.173721494197</v>
      </c>
      <c r="V648" s="73"/>
      <c r="X648" s="30"/>
      <c r="Y648" s="54">
        <v>639</v>
      </c>
      <c r="Z648" s="70">
        <v>59717.35000000002</v>
      </c>
      <c r="AA648" s="75">
        <v>11736</v>
      </c>
      <c r="AB648" s="75">
        <v>6909.4400000000005</v>
      </c>
      <c r="AC648" s="75">
        <v>79458.559999999998</v>
      </c>
      <c r="AD648" s="194">
        <v>339256.4</v>
      </c>
      <c r="AE648" s="194">
        <v>7318.4000000000005</v>
      </c>
      <c r="AF648" s="76">
        <v>0.08</v>
      </c>
      <c r="AG648" s="70">
        <v>4107.6000000000013</v>
      </c>
      <c r="AH648" s="31"/>
    </row>
    <row r="649" spans="3:34" x14ac:dyDescent="0.25">
      <c r="C649" s="72"/>
      <c r="D649" s="54">
        <v>640</v>
      </c>
      <c r="E649" s="70">
        <v>30635.27</v>
      </c>
      <c r="F649" s="75">
        <v>8949</v>
      </c>
      <c r="G649" s="75">
        <v>80979</v>
      </c>
      <c r="H649" s="194">
        <v>314748</v>
      </c>
      <c r="I649" s="194">
        <v>11892.08</v>
      </c>
      <c r="J649" s="75">
        <v>81753.173721494197</v>
      </c>
      <c r="K649" s="73"/>
      <c r="M649" s="72"/>
      <c r="N649" s="54">
        <v>640</v>
      </c>
      <c r="O649" s="70">
        <v>49468.129999999983</v>
      </c>
      <c r="P649" s="75">
        <v>9192</v>
      </c>
      <c r="Q649" s="75">
        <v>84824</v>
      </c>
      <c r="R649" s="194">
        <v>327929.98</v>
      </c>
      <c r="S649" s="194">
        <v>6241.2</v>
      </c>
      <c r="T649" s="70">
        <v>1126.0200000000004</v>
      </c>
      <c r="U649" s="80">
        <v>81753.173721494197</v>
      </c>
      <c r="V649" s="73"/>
      <c r="X649" s="30"/>
      <c r="Y649" s="54">
        <v>640</v>
      </c>
      <c r="Z649" s="70">
        <v>45193.750000000022</v>
      </c>
      <c r="AA649" s="75">
        <v>13136</v>
      </c>
      <c r="AB649" s="75">
        <v>7279.2</v>
      </c>
      <c r="AC649" s="75">
        <v>73600.800000000003</v>
      </c>
      <c r="AD649" s="194">
        <v>324458.40000000002</v>
      </c>
      <c r="AE649" s="194">
        <v>7044</v>
      </c>
      <c r="AF649" s="76">
        <v>0.09</v>
      </c>
      <c r="AG649" s="70">
        <v>4597.6000000000013</v>
      </c>
      <c r="AH649" s="31"/>
    </row>
    <row r="650" spans="3:34" x14ac:dyDescent="0.25">
      <c r="C650" s="72"/>
      <c r="D650" s="54">
        <v>641</v>
      </c>
      <c r="E650" s="70">
        <v>58351.91</v>
      </c>
      <c r="F650" s="75">
        <v>6900</v>
      </c>
      <c r="G650" s="75">
        <v>91204</v>
      </c>
      <c r="H650" s="194">
        <v>343364</v>
      </c>
      <c r="I650" s="194">
        <v>12791.44</v>
      </c>
      <c r="J650" s="75">
        <v>81753.173721494197</v>
      </c>
      <c r="K650" s="73"/>
      <c r="M650" s="72"/>
      <c r="N650" s="54">
        <v>641</v>
      </c>
      <c r="O650" s="70">
        <v>35256.650000000009</v>
      </c>
      <c r="P650" s="75">
        <v>10680</v>
      </c>
      <c r="Q650" s="75">
        <v>79248</v>
      </c>
      <c r="R650" s="194">
        <v>313439.7</v>
      </c>
      <c r="S650" s="194">
        <v>5962.4</v>
      </c>
      <c r="T650" s="70">
        <v>1308.3000000000006</v>
      </c>
      <c r="U650" s="80">
        <v>81753.173721494197</v>
      </c>
      <c r="V650" s="73"/>
      <c r="X650" s="30"/>
      <c r="Y650" s="54">
        <v>641</v>
      </c>
      <c r="Z650" s="70">
        <v>31188.849999999988</v>
      </c>
      <c r="AA650" s="75">
        <v>12807</v>
      </c>
      <c r="AB650" s="75">
        <v>6169.68</v>
      </c>
      <c r="AC650" s="75">
        <v>70951.320000000007</v>
      </c>
      <c r="AD650" s="194">
        <v>310265.55</v>
      </c>
      <c r="AE650" s="194">
        <v>6856.05</v>
      </c>
      <c r="AF650" s="76">
        <v>0.08</v>
      </c>
      <c r="AG650" s="70">
        <v>4482.4500000000007</v>
      </c>
      <c r="AH650" s="31"/>
    </row>
    <row r="651" spans="3:34" x14ac:dyDescent="0.25">
      <c r="C651" s="72"/>
      <c r="D651" s="54">
        <v>642</v>
      </c>
      <c r="E651" s="70">
        <v>30635.27</v>
      </c>
      <c r="F651" s="75">
        <v>8030</v>
      </c>
      <c r="G651" s="75">
        <v>81898</v>
      </c>
      <c r="H651" s="194">
        <v>314748</v>
      </c>
      <c r="I651" s="194">
        <v>11892.08</v>
      </c>
      <c r="J651" s="75">
        <v>81753.173721494197</v>
      </c>
      <c r="K651" s="73"/>
      <c r="M651" s="72"/>
      <c r="N651" s="54">
        <v>642</v>
      </c>
      <c r="O651" s="70">
        <v>35046.400000000009</v>
      </c>
      <c r="P651" s="75">
        <v>13580</v>
      </c>
      <c r="Q651" s="75">
        <v>76348</v>
      </c>
      <c r="R651" s="194">
        <v>313084.45</v>
      </c>
      <c r="S651" s="194">
        <v>5817.4</v>
      </c>
      <c r="T651" s="70">
        <v>1663.5500000000006</v>
      </c>
      <c r="U651" s="80">
        <v>81753.173721494197</v>
      </c>
      <c r="V651" s="73"/>
      <c r="X651" s="30"/>
      <c r="Y651" s="54">
        <v>642</v>
      </c>
      <c r="Z651" s="70">
        <v>46363.750000000022</v>
      </c>
      <c r="AA651" s="75">
        <v>9236</v>
      </c>
      <c r="AB651" s="75">
        <v>4239</v>
      </c>
      <c r="AC651" s="75">
        <v>80541</v>
      </c>
      <c r="AD651" s="194">
        <v>325823.40000000002</v>
      </c>
      <c r="AE651" s="194">
        <v>7239</v>
      </c>
      <c r="AF651" s="76">
        <v>0.05</v>
      </c>
      <c r="AG651" s="70">
        <v>3232.6000000000008</v>
      </c>
      <c r="AH651" s="31"/>
    </row>
    <row r="652" spans="3:34" x14ac:dyDescent="0.25">
      <c r="C652" s="72"/>
      <c r="D652" s="54">
        <v>643</v>
      </c>
      <c r="E652" s="70">
        <v>86065.16</v>
      </c>
      <c r="F652" s="75">
        <v>7416</v>
      </c>
      <c r="G652" s="75">
        <v>98863</v>
      </c>
      <c r="H652" s="194">
        <v>371976.5</v>
      </c>
      <c r="I652" s="194">
        <v>13690.69</v>
      </c>
      <c r="J652" s="75">
        <v>81753.173721494197</v>
      </c>
      <c r="K652" s="73"/>
      <c r="M652" s="72"/>
      <c r="N652" s="54">
        <v>643</v>
      </c>
      <c r="O652" s="70">
        <v>35043.499999999985</v>
      </c>
      <c r="P652" s="75">
        <v>13620</v>
      </c>
      <c r="Q652" s="75">
        <v>76308</v>
      </c>
      <c r="R652" s="194">
        <v>313079.55</v>
      </c>
      <c r="S652" s="194">
        <v>5815.4</v>
      </c>
      <c r="T652" s="70">
        <v>1668.4500000000007</v>
      </c>
      <c r="U652" s="80">
        <v>81753.173721494197</v>
      </c>
      <c r="V652" s="73"/>
      <c r="X652" s="30"/>
      <c r="Y652" s="54">
        <v>643</v>
      </c>
      <c r="Z652" s="70">
        <v>45147.250000000022</v>
      </c>
      <c r="AA652" s="75">
        <v>13291</v>
      </c>
      <c r="AB652" s="75">
        <v>6458</v>
      </c>
      <c r="AC652" s="75">
        <v>74267</v>
      </c>
      <c r="AD652" s="194">
        <v>324404.15000000002</v>
      </c>
      <c r="AE652" s="194">
        <v>7036.25</v>
      </c>
      <c r="AF652" s="76">
        <v>0.08</v>
      </c>
      <c r="AG652" s="70">
        <v>4651.8500000000013</v>
      </c>
      <c r="AH652" s="31"/>
    </row>
    <row r="653" spans="3:34" x14ac:dyDescent="0.25">
      <c r="C653" s="72"/>
      <c r="D653" s="54">
        <v>644</v>
      </c>
      <c r="E653" s="70">
        <v>30635.27</v>
      </c>
      <c r="F653" s="75">
        <v>6249</v>
      </c>
      <c r="G653" s="75">
        <v>83679</v>
      </c>
      <c r="H653" s="194">
        <v>314748</v>
      </c>
      <c r="I653" s="194">
        <v>11892.08</v>
      </c>
      <c r="J653" s="75">
        <v>81753.173721494197</v>
      </c>
      <c r="K653" s="73"/>
      <c r="M653" s="72"/>
      <c r="N653" s="54">
        <v>644</v>
      </c>
      <c r="O653" s="70">
        <v>35246.354999999996</v>
      </c>
      <c r="P653" s="75">
        <v>10822</v>
      </c>
      <c r="Q653" s="75">
        <v>79106</v>
      </c>
      <c r="R653" s="194">
        <v>313422.30499999999</v>
      </c>
      <c r="S653" s="194">
        <v>5955.3</v>
      </c>
      <c r="T653" s="70">
        <v>1325.6950000000006</v>
      </c>
      <c r="U653" s="80">
        <v>81753.173721494197</v>
      </c>
      <c r="V653" s="73"/>
      <c r="X653" s="30"/>
      <c r="Y653" s="54">
        <v>644</v>
      </c>
      <c r="Z653" s="70">
        <v>45999.55</v>
      </c>
      <c r="AA653" s="75">
        <v>10450</v>
      </c>
      <c r="AB653" s="75">
        <v>6685.28</v>
      </c>
      <c r="AC653" s="75">
        <v>76880.72</v>
      </c>
      <c r="AD653" s="194">
        <v>325398.5</v>
      </c>
      <c r="AE653" s="194">
        <v>7178.3</v>
      </c>
      <c r="AF653" s="76">
        <v>0.08</v>
      </c>
      <c r="AG653" s="70">
        <v>3657.5000000000009</v>
      </c>
      <c r="AH653" s="31"/>
    </row>
    <row r="654" spans="3:34" x14ac:dyDescent="0.25">
      <c r="C654" s="72"/>
      <c r="D654" s="54">
        <v>645</v>
      </c>
      <c r="E654" s="70">
        <v>58351.91</v>
      </c>
      <c r="F654" s="75">
        <v>5018</v>
      </c>
      <c r="G654" s="75">
        <v>93086</v>
      </c>
      <c r="H654" s="194">
        <v>343364</v>
      </c>
      <c r="I654" s="194">
        <v>12791.44</v>
      </c>
      <c r="J654" s="75">
        <v>81753.173721494197</v>
      </c>
      <c r="K654" s="73"/>
      <c r="M654" s="72"/>
      <c r="N654" s="54">
        <v>645</v>
      </c>
      <c r="O654" s="70">
        <v>63454.425000000025</v>
      </c>
      <c r="P654" s="75">
        <v>10810</v>
      </c>
      <c r="Q654" s="75">
        <v>87294</v>
      </c>
      <c r="R654" s="194">
        <v>342039.77500000002</v>
      </c>
      <c r="S654" s="194">
        <v>6364.7</v>
      </c>
      <c r="T654" s="70">
        <v>1324.2250000000006</v>
      </c>
      <c r="U654" s="80">
        <v>81753.173721494197</v>
      </c>
      <c r="V654" s="73"/>
      <c r="X654" s="30"/>
      <c r="Y654" s="54">
        <v>645</v>
      </c>
      <c r="Z654" s="70">
        <v>86993.799999999988</v>
      </c>
      <c r="AA654" s="75">
        <v>14827</v>
      </c>
      <c r="AB654" s="75">
        <v>6401.64</v>
      </c>
      <c r="AC654" s="75">
        <v>85050.36</v>
      </c>
      <c r="AD654" s="194">
        <v>366787.05</v>
      </c>
      <c r="AE654" s="194">
        <v>7572.6</v>
      </c>
      <c r="AF654" s="76">
        <v>7.0000000000000007E-2</v>
      </c>
      <c r="AG654" s="70">
        <v>5189.4500000000016</v>
      </c>
      <c r="AH654" s="31"/>
    </row>
    <row r="655" spans="3:34" x14ac:dyDescent="0.25">
      <c r="C655" s="72"/>
      <c r="D655" s="54">
        <v>646</v>
      </c>
      <c r="E655" s="70">
        <v>30635.27</v>
      </c>
      <c r="F655" s="75">
        <v>7089</v>
      </c>
      <c r="G655" s="75">
        <v>82839</v>
      </c>
      <c r="H655" s="194">
        <v>314748</v>
      </c>
      <c r="I655" s="194">
        <v>11892.08</v>
      </c>
      <c r="J655" s="75">
        <v>81753.173721494197</v>
      </c>
      <c r="K655" s="73"/>
      <c r="M655" s="72"/>
      <c r="N655" s="54">
        <v>646</v>
      </c>
      <c r="O655" s="70">
        <v>49382.000000000015</v>
      </c>
      <c r="P655" s="75">
        <v>10380</v>
      </c>
      <c r="Q655" s="75">
        <v>83636</v>
      </c>
      <c r="R655" s="194">
        <v>327784.45</v>
      </c>
      <c r="S655" s="194">
        <v>6181.8</v>
      </c>
      <c r="T655" s="70">
        <v>1271.5500000000006</v>
      </c>
      <c r="U655" s="80">
        <v>81753.173721494197</v>
      </c>
      <c r="V655" s="73"/>
      <c r="X655" s="30"/>
      <c r="Y655" s="54">
        <v>646</v>
      </c>
      <c r="Z655" s="70">
        <v>45982.44999999999</v>
      </c>
      <c r="AA655" s="75">
        <v>10507</v>
      </c>
      <c r="AB655" s="75">
        <v>5010.54</v>
      </c>
      <c r="AC655" s="75">
        <v>78498.460000000006</v>
      </c>
      <c r="AD655" s="194">
        <v>325378.55</v>
      </c>
      <c r="AE655" s="194">
        <v>7175.45</v>
      </c>
      <c r="AF655" s="76">
        <v>0.06</v>
      </c>
      <c r="AG655" s="70">
        <v>3677.4500000000007</v>
      </c>
      <c r="AH655" s="31"/>
    </row>
    <row r="656" spans="3:34" x14ac:dyDescent="0.25">
      <c r="C656" s="72"/>
      <c r="D656" s="54">
        <v>647</v>
      </c>
      <c r="E656" s="70">
        <v>86065.16</v>
      </c>
      <c r="F656" s="75">
        <v>8534</v>
      </c>
      <c r="G656" s="75">
        <v>97745</v>
      </c>
      <c r="H656" s="194">
        <v>371976.5</v>
      </c>
      <c r="I656" s="194">
        <v>13690.69</v>
      </c>
      <c r="J656" s="75">
        <v>81753.173721494197</v>
      </c>
      <c r="K656" s="73"/>
      <c r="M656" s="72"/>
      <c r="N656" s="54">
        <v>647</v>
      </c>
      <c r="O656" s="70">
        <v>63458.267500000016</v>
      </c>
      <c r="P656" s="75">
        <v>10757</v>
      </c>
      <c r="Q656" s="75">
        <v>87347</v>
      </c>
      <c r="R656" s="194">
        <v>342046.26750000002</v>
      </c>
      <c r="S656" s="194">
        <v>6367.35</v>
      </c>
      <c r="T656" s="70">
        <v>1317.7325000000005</v>
      </c>
      <c r="U656" s="80">
        <v>81753.173721494197</v>
      </c>
      <c r="V656" s="73"/>
      <c r="X656" s="30"/>
      <c r="Y656" s="54">
        <v>647</v>
      </c>
      <c r="Z656" s="70">
        <v>88277.199999999983</v>
      </c>
      <c r="AA656" s="75">
        <v>10549</v>
      </c>
      <c r="AB656" s="75">
        <v>6701.1</v>
      </c>
      <c r="AC656" s="75">
        <v>89028.9</v>
      </c>
      <c r="AD656" s="194">
        <v>368284.35</v>
      </c>
      <c r="AE656" s="194">
        <v>7786.5</v>
      </c>
      <c r="AF656" s="76">
        <v>7.0000000000000007E-2</v>
      </c>
      <c r="AG656" s="70">
        <v>3692.150000000001</v>
      </c>
      <c r="AH656" s="31"/>
    </row>
    <row r="657" spans="3:34" x14ac:dyDescent="0.25">
      <c r="C657" s="72"/>
      <c r="D657" s="54">
        <v>648</v>
      </c>
      <c r="E657" s="70">
        <v>30635.27</v>
      </c>
      <c r="F657" s="75">
        <v>4509</v>
      </c>
      <c r="G657" s="75">
        <v>85419</v>
      </c>
      <c r="H657" s="194">
        <v>314748</v>
      </c>
      <c r="I657" s="194">
        <v>11892.08</v>
      </c>
      <c r="J657" s="75">
        <v>81753.173721494197</v>
      </c>
      <c r="K657" s="73"/>
      <c r="M657" s="72"/>
      <c r="N657" s="54">
        <v>648</v>
      </c>
      <c r="O657" s="70">
        <v>63387.942500000005</v>
      </c>
      <c r="P657" s="75">
        <v>11727</v>
      </c>
      <c r="Q657" s="75">
        <v>86377</v>
      </c>
      <c r="R657" s="194">
        <v>341927.4425</v>
      </c>
      <c r="S657" s="194">
        <v>6318.85</v>
      </c>
      <c r="T657" s="70">
        <v>1436.5575000000006</v>
      </c>
      <c r="U657" s="80">
        <v>81753.173721494197</v>
      </c>
      <c r="V657" s="73"/>
      <c r="X657" s="30"/>
      <c r="Y657" s="54">
        <v>648</v>
      </c>
      <c r="Z657" s="70">
        <v>30941.95</v>
      </c>
      <c r="AA657" s="75">
        <v>13630</v>
      </c>
      <c r="AB657" s="75">
        <v>5340.8600000000006</v>
      </c>
      <c r="AC657" s="75">
        <v>70957.14</v>
      </c>
      <c r="AD657" s="194">
        <v>309977.5</v>
      </c>
      <c r="AE657" s="194">
        <v>6814.9</v>
      </c>
      <c r="AF657" s="76">
        <v>7.0000000000000007E-2</v>
      </c>
      <c r="AG657" s="70">
        <v>4770.5000000000009</v>
      </c>
      <c r="AH657" s="31"/>
    </row>
    <row r="658" spans="3:34" x14ac:dyDescent="0.25">
      <c r="C658" s="72"/>
      <c r="D658" s="54">
        <v>649</v>
      </c>
      <c r="E658" s="70">
        <v>86065.16</v>
      </c>
      <c r="F658" s="75">
        <v>8476</v>
      </c>
      <c r="G658" s="75">
        <v>97803</v>
      </c>
      <c r="H658" s="194">
        <v>371976.5</v>
      </c>
      <c r="I658" s="194">
        <v>13690.69</v>
      </c>
      <c r="J658" s="75">
        <v>81753.173721494197</v>
      </c>
      <c r="K658" s="73"/>
      <c r="M658" s="72"/>
      <c r="N658" s="54">
        <v>649</v>
      </c>
      <c r="O658" s="70">
        <v>49444.784999999974</v>
      </c>
      <c r="P658" s="75">
        <v>9514</v>
      </c>
      <c r="Q658" s="75">
        <v>84502</v>
      </c>
      <c r="R658" s="194">
        <v>327890.53499999997</v>
      </c>
      <c r="S658" s="194">
        <v>6225.1</v>
      </c>
      <c r="T658" s="70">
        <v>1165.4650000000006</v>
      </c>
      <c r="U658" s="80">
        <v>81753.173721494197</v>
      </c>
      <c r="V658" s="73"/>
      <c r="X658" s="30"/>
      <c r="Y658" s="54">
        <v>649</v>
      </c>
      <c r="Z658" s="70">
        <v>60303.549999999988</v>
      </c>
      <c r="AA658" s="75">
        <v>9782</v>
      </c>
      <c r="AB658" s="75">
        <v>8832.2000000000007</v>
      </c>
      <c r="AC658" s="75">
        <v>79489.8</v>
      </c>
      <c r="AD658" s="194">
        <v>339940.3</v>
      </c>
      <c r="AE658" s="194">
        <v>7416.1</v>
      </c>
      <c r="AF658" s="76">
        <v>0.1</v>
      </c>
      <c r="AG658" s="70">
        <v>3423.7000000000007</v>
      </c>
      <c r="AH658" s="31"/>
    </row>
    <row r="659" spans="3:34" x14ac:dyDescent="0.25">
      <c r="C659" s="72"/>
      <c r="D659" s="54">
        <v>650</v>
      </c>
      <c r="E659" s="70">
        <v>30635.27</v>
      </c>
      <c r="F659" s="75">
        <v>8172</v>
      </c>
      <c r="G659" s="75">
        <v>81756</v>
      </c>
      <c r="H659" s="194">
        <v>314748</v>
      </c>
      <c r="I659" s="194">
        <v>11892.08</v>
      </c>
      <c r="J659" s="75">
        <v>81753.173721494197</v>
      </c>
      <c r="K659" s="73"/>
      <c r="M659" s="72"/>
      <c r="N659" s="54">
        <v>650</v>
      </c>
      <c r="O659" s="70">
        <v>91517.090000000011</v>
      </c>
      <c r="P659" s="75">
        <v>12756</v>
      </c>
      <c r="Q659" s="75">
        <v>93523</v>
      </c>
      <c r="R659" s="194">
        <v>370413.89</v>
      </c>
      <c r="S659" s="194">
        <v>6676.1500000000005</v>
      </c>
      <c r="T659" s="70">
        <v>1562.6100000000006</v>
      </c>
      <c r="U659" s="80">
        <v>81753.173721494197</v>
      </c>
      <c r="V659" s="73"/>
      <c r="X659" s="30"/>
      <c r="Y659" s="54">
        <v>650</v>
      </c>
      <c r="Z659" s="70">
        <v>32093.05000000001</v>
      </c>
      <c r="AA659" s="75">
        <v>9793</v>
      </c>
      <c r="AB659" s="75">
        <v>7212.15</v>
      </c>
      <c r="AC659" s="75">
        <v>72922.850000000006</v>
      </c>
      <c r="AD659" s="194">
        <v>311320.45</v>
      </c>
      <c r="AE659" s="194">
        <v>7006.75</v>
      </c>
      <c r="AF659" s="76">
        <v>0.09</v>
      </c>
      <c r="AG659" s="70">
        <v>3427.5500000000011</v>
      </c>
      <c r="AH659" s="31"/>
    </row>
    <row r="660" spans="3:34" x14ac:dyDescent="0.25">
      <c r="C660" s="72"/>
      <c r="D660" s="54">
        <v>651</v>
      </c>
      <c r="E660" s="70">
        <v>44493.59</v>
      </c>
      <c r="F660" s="75">
        <v>5666</v>
      </c>
      <c r="G660" s="75">
        <v>88350</v>
      </c>
      <c r="H660" s="194">
        <v>329056</v>
      </c>
      <c r="I660" s="194">
        <v>12341.76</v>
      </c>
      <c r="J660" s="75">
        <v>81753.173721494197</v>
      </c>
      <c r="K660" s="73"/>
      <c r="M660" s="72"/>
      <c r="N660" s="54">
        <v>651</v>
      </c>
      <c r="O660" s="70">
        <v>49113.605000000018</v>
      </c>
      <c r="P660" s="75">
        <v>14082</v>
      </c>
      <c r="Q660" s="75">
        <v>79934</v>
      </c>
      <c r="R660" s="194">
        <v>327330.95500000002</v>
      </c>
      <c r="S660" s="194">
        <v>5996.7000000000007</v>
      </c>
      <c r="T660" s="70">
        <v>1725.0450000000008</v>
      </c>
      <c r="U660" s="80">
        <v>81753.173721494197</v>
      </c>
      <c r="V660" s="73"/>
      <c r="X660" s="30"/>
      <c r="Y660" s="54">
        <v>651</v>
      </c>
      <c r="Z660" s="70">
        <v>31258.749999999978</v>
      </c>
      <c r="AA660" s="75">
        <v>12574</v>
      </c>
      <c r="AB660" s="75">
        <v>5414.7800000000007</v>
      </c>
      <c r="AC660" s="75">
        <v>71939.22</v>
      </c>
      <c r="AD660" s="194">
        <v>310347.09999999998</v>
      </c>
      <c r="AE660" s="194">
        <v>6867.7000000000007</v>
      </c>
      <c r="AF660" s="76">
        <v>7.0000000000000007E-2</v>
      </c>
      <c r="AG660" s="70">
        <v>4400.9000000000015</v>
      </c>
      <c r="AH660" s="31"/>
    </row>
    <row r="661" spans="3:34" x14ac:dyDescent="0.25">
      <c r="C661" s="72"/>
      <c r="D661" s="54">
        <v>652</v>
      </c>
      <c r="E661" s="70">
        <v>44493.59</v>
      </c>
      <c r="F661" s="75">
        <v>6586</v>
      </c>
      <c r="G661" s="75">
        <v>87430</v>
      </c>
      <c r="H661" s="194">
        <v>329056</v>
      </c>
      <c r="I661" s="194">
        <v>12341.76</v>
      </c>
      <c r="J661" s="75">
        <v>81753.173721494197</v>
      </c>
      <c r="K661" s="73"/>
      <c r="M661" s="72"/>
      <c r="N661" s="54">
        <v>652</v>
      </c>
      <c r="O661" s="70">
        <v>63313.267500000016</v>
      </c>
      <c r="P661" s="75">
        <v>12757</v>
      </c>
      <c r="Q661" s="75">
        <v>85347</v>
      </c>
      <c r="R661" s="194">
        <v>341801.26750000002</v>
      </c>
      <c r="S661" s="194">
        <v>6267.35</v>
      </c>
      <c r="T661" s="70">
        <v>1562.7325000000008</v>
      </c>
      <c r="U661" s="80">
        <v>81753.173721494197</v>
      </c>
      <c r="V661" s="73"/>
      <c r="X661" s="30"/>
      <c r="Y661" s="54">
        <v>652</v>
      </c>
      <c r="Z661" s="70">
        <v>59713.15</v>
      </c>
      <c r="AA661" s="75">
        <v>11750</v>
      </c>
      <c r="AB661" s="75">
        <v>6908.32</v>
      </c>
      <c r="AC661" s="75">
        <v>79445.679999999993</v>
      </c>
      <c r="AD661" s="194">
        <v>339251.5</v>
      </c>
      <c r="AE661" s="194">
        <v>7317.7</v>
      </c>
      <c r="AF661" s="76">
        <v>0.08</v>
      </c>
      <c r="AG661" s="70">
        <v>4112.5000000000009</v>
      </c>
      <c r="AH661" s="31"/>
    </row>
    <row r="662" spans="3:34" x14ac:dyDescent="0.25">
      <c r="C662" s="72"/>
      <c r="D662" s="54">
        <v>653</v>
      </c>
      <c r="E662" s="70">
        <v>86065.16</v>
      </c>
      <c r="F662" s="75">
        <v>5213</v>
      </c>
      <c r="G662" s="75">
        <v>101066</v>
      </c>
      <c r="H662" s="194">
        <v>371976.5</v>
      </c>
      <c r="I662" s="194">
        <v>13690.69</v>
      </c>
      <c r="J662" s="75">
        <v>81753.173721494197</v>
      </c>
      <c r="K662" s="73"/>
      <c r="M662" s="72"/>
      <c r="N662" s="54">
        <v>653</v>
      </c>
      <c r="O662" s="70">
        <v>63450.872500000019</v>
      </c>
      <c r="P662" s="75">
        <v>10859</v>
      </c>
      <c r="Q662" s="75">
        <v>87245</v>
      </c>
      <c r="R662" s="194">
        <v>342033.77250000002</v>
      </c>
      <c r="S662" s="194">
        <v>6362.25</v>
      </c>
      <c r="T662" s="70">
        <v>1330.2275000000006</v>
      </c>
      <c r="U662" s="80">
        <v>81753.173721494197</v>
      </c>
      <c r="V662" s="73"/>
      <c r="X662" s="30"/>
      <c r="Y662" s="54">
        <v>653</v>
      </c>
      <c r="Z662" s="70">
        <v>45502.150000000009</v>
      </c>
      <c r="AA662" s="75">
        <v>12108</v>
      </c>
      <c r="AB662" s="75">
        <v>6552.64</v>
      </c>
      <c r="AC662" s="75">
        <v>75355.360000000001</v>
      </c>
      <c r="AD662" s="194">
        <v>324818.2</v>
      </c>
      <c r="AE662" s="194">
        <v>7095.4</v>
      </c>
      <c r="AF662" s="76">
        <v>0.08</v>
      </c>
      <c r="AG662" s="70">
        <v>4237.8000000000011</v>
      </c>
      <c r="AH662" s="31"/>
    </row>
    <row r="663" spans="3:34" x14ac:dyDescent="0.25">
      <c r="C663" s="72"/>
      <c r="D663" s="54">
        <v>654</v>
      </c>
      <c r="E663" s="70">
        <v>44493.59</v>
      </c>
      <c r="F663" s="75">
        <v>6671</v>
      </c>
      <c r="G663" s="75">
        <v>87345</v>
      </c>
      <c r="H663" s="194">
        <v>329056</v>
      </c>
      <c r="I663" s="194">
        <v>12341.76</v>
      </c>
      <c r="J663" s="75">
        <v>81753.173721494197</v>
      </c>
      <c r="K663" s="73"/>
      <c r="M663" s="72"/>
      <c r="N663" s="54">
        <v>654</v>
      </c>
      <c r="O663" s="70">
        <v>49177.405000000006</v>
      </c>
      <c r="P663" s="75">
        <v>13202</v>
      </c>
      <c r="Q663" s="75">
        <v>80814</v>
      </c>
      <c r="R663" s="194">
        <v>327438.755</v>
      </c>
      <c r="S663" s="194">
        <v>6040.7000000000007</v>
      </c>
      <c r="T663" s="70">
        <v>1617.2450000000008</v>
      </c>
      <c r="U663" s="80">
        <v>81753.173721494197</v>
      </c>
      <c r="V663" s="73"/>
      <c r="X663" s="30"/>
      <c r="Y663" s="54">
        <v>654</v>
      </c>
      <c r="Z663" s="70">
        <v>31054.150000000023</v>
      </c>
      <c r="AA663" s="75">
        <v>13256</v>
      </c>
      <c r="AB663" s="75">
        <v>6133.76</v>
      </c>
      <c r="AC663" s="75">
        <v>70538.240000000005</v>
      </c>
      <c r="AD663" s="194">
        <v>310108.40000000002</v>
      </c>
      <c r="AE663" s="194">
        <v>6833.6</v>
      </c>
      <c r="AF663" s="76">
        <v>0.08</v>
      </c>
      <c r="AG663" s="70">
        <v>4639.6000000000013</v>
      </c>
      <c r="AH663" s="31"/>
    </row>
    <row r="664" spans="3:34" x14ac:dyDescent="0.25">
      <c r="C664" s="72"/>
      <c r="D664" s="54">
        <v>655</v>
      </c>
      <c r="E664" s="70">
        <v>30635.27</v>
      </c>
      <c r="F664" s="75">
        <v>4523</v>
      </c>
      <c r="G664" s="75">
        <v>85405</v>
      </c>
      <c r="H664" s="194">
        <v>314748</v>
      </c>
      <c r="I664" s="194">
        <v>11892.08</v>
      </c>
      <c r="J664" s="75">
        <v>81753.173721494197</v>
      </c>
      <c r="K664" s="73"/>
      <c r="M664" s="72"/>
      <c r="N664" s="54">
        <v>655</v>
      </c>
      <c r="O664" s="70">
        <v>49189.367500000029</v>
      </c>
      <c r="P664" s="75">
        <v>13037</v>
      </c>
      <c r="Q664" s="75">
        <v>80979</v>
      </c>
      <c r="R664" s="194">
        <v>327458.96750000003</v>
      </c>
      <c r="S664" s="194">
        <v>6048.9500000000007</v>
      </c>
      <c r="T664" s="70">
        <v>1597.0325000000007</v>
      </c>
      <c r="U664" s="80">
        <v>81753.173721494197</v>
      </c>
      <c r="V664" s="73"/>
      <c r="X664" s="30"/>
      <c r="Y664" s="54">
        <v>655</v>
      </c>
      <c r="Z664" s="70">
        <v>46299.849999999977</v>
      </c>
      <c r="AA664" s="75">
        <v>9449</v>
      </c>
      <c r="AB664" s="75">
        <v>4228.3500000000004</v>
      </c>
      <c r="AC664" s="75">
        <v>80338.649999999994</v>
      </c>
      <c r="AD664" s="194">
        <v>325748.84999999998</v>
      </c>
      <c r="AE664" s="194">
        <v>7228.35</v>
      </c>
      <c r="AF664" s="76">
        <v>0.05</v>
      </c>
      <c r="AG664" s="70">
        <v>3307.150000000001</v>
      </c>
      <c r="AH664" s="31"/>
    </row>
    <row r="665" spans="3:34" x14ac:dyDescent="0.25">
      <c r="C665" s="72"/>
      <c r="D665" s="54">
        <v>656</v>
      </c>
      <c r="E665" s="70">
        <v>30635.27</v>
      </c>
      <c r="F665" s="75">
        <v>6317</v>
      </c>
      <c r="G665" s="75">
        <v>83611</v>
      </c>
      <c r="H665" s="194">
        <v>314748</v>
      </c>
      <c r="I665" s="194">
        <v>11892.08</v>
      </c>
      <c r="J665" s="75">
        <v>81753.173721494197</v>
      </c>
      <c r="K665" s="73"/>
      <c r="M665" s="72"/>
      <c r="N665" s="54">
        <v>656</v>
      </c>
      <c r="O665" s="70">
        <v>63160.147499999985</v>
      </c>
      <c r="P665" s="75">
        <v>14869</v>
      </c>
      <c r="Q665" s="75">
        <v>83235</v>
      </c>
      <c r="R665" s="194">
        <v>341542.54749999999</v>
      </c>
      <c r="S665" s="194">
        <v>6161.75</v>
      </c>
      <c r="T665" s="70">
        <v>1821.4525000000008</v>
      </c>
      <c r="U665" s="80">
        <v>81753.173721494197</v>
      </c>
      <c r="V665" s="73"/>
      <c r="X665" s="30"/>
      <c r="Y665" s="54">
        <v>656</v>
      </c>
      <c r="Z665" s="70">
        <v>60269.049999999988</v>
      </c>
      <c r="AA665" s="75">
        <v>9897</v>
      </c>
      <c r="AB665" s="75">
        <v>6174.4900000000007</v>
      </c>
      <c r="AC665" s="75">
        <v>82032.509999999995</v>
      </c>
      <c r="AD665" s="194">
        <v>339900.05</v>
      </c>
      <c r="AE665" s="194">
        <v>7410.35</v>
      </c>
      <c r="AF665" s="76">
        <v>7.0000000000000007E-2</v>
      </c>
      <c r="AG665" s="70">
        <v>3463.9500000000007</v>
      </c>
      <c r="AH665" s="31"/>
    </row>
    <row r="666" spans="3:34" x14ac:dyDescent="0.25">
      <c r="C666" s="72"/>
      <c r="D666" s="54">
        <v>657</v>
      </c>
      <c r="E666" s="70">
        <v>30635.27</v>
      </c>
      <c r="F666" s="75">
        <v>4366</v>
      </c>
      <c r="G666" s="75">
        <v>85562</v>
      </c>
      <c r="H666" s="194">
        <v>314748</v>
      </c>
      <c r="I666" s="194">
        <v>11892.08</v>
      </c>
      <c r="J666" s="75">
        <v>81753.173721494197</v>
      </c>
      <c r="K666" s="73"/>
      <c r="M666" s="72"/>
      <c r="N666" s="54">
        <v>657</v>
      </c>
      <c r="O666" s="70">
        <v>63320.227499999964</v>
      </c>
      <c r="P666" s="75">
        <v>12661</v>
      </c>
      <c r="Q666" s="75">
        <v>85443</v>
      </c>
      <c r="R666" s="194">
        <v>341813.02749999997</v>
      </c>
      <c r="S666" s="194">
        <v>6272.1500000000005</v>
      </c>
      <c r="T666" s="70">
        <v>1550.9725000000008</v>
      </c>
      <c r="U666" s="80">
        <v>81753.173721494197</v>
      </c>
      <c r="V666" s="73"/>
      <c r="X666" s="30"/>
      <c r="Y666" s="54">
        <v>657</v>
      </c>
      <c r="Z666" s="70">
        <v>46016.94999999999</v>
      </c>
      <c r="AA666" s="75">
        <v>10392</v>
      </c>
      <c r="AB666" s="75">
        <v>8362.4</v>
      </c>
      <c r="AC666" s="75">
        <v>75261.600000000006</v>
      </c>
      <c r="AD666" s="194">
        <v>325418.8</v>
      </c>
      <c r="AE666" s="194">
        <v>7181.2</v>
      </c>
      <c r="AF666" s="76">
        <v>0.1</v>
      </c>
      <c r="AG666" s="70">
        <v>3637.2000000000007</v>
      </c>
      <c r="AH666" s="31"/>
    </row>
    <row r="667" spans="3:34" x14ac:dyDescent="0.25">
      <c r="C667" s="72"/>
      <c r="D667" s="54">
        <v>658</v>
      </c>
      <c r="E667" s="70">
        <v>44493.59</v>
      </c>
      <c r="F667" s="75">
        <v>5573</v>
      </c>
      <c r="G667" s="75">
        <v>88443</v>
      </c>
      <c r="H667" s="194">
        <v>329056</v>
      </c>
      <c r="I667" s="194">
        <v>12341.76</v>
      </c>
      <c r="J667" s="75">
        <v>81753.173721494197</v>
      </c>
      <c r="K667" s="73"/>
      <c r="M667" s="72"/>
      <c r="N667" s="54">
        <v>658</v>
      </c>
      <c r="O667" s="70">
        <v>63377.647499999985</v>
      </c>
      <c r="P667" s="75">
        <v>11869</v>
      </c>
      <c r="Q667" s="75">
        <v>86235</v>
      </c>
      <c r="R667" s="194">
        <v>341910.04749999999</v>
      </c>
      <c r="S667" s="194">
        <v>6311.75</v>
      </c>
      <c r="T667" s="70">
        <v>1453.9525000000006</v>
      </c>
      <c r="U667" s="80">
        <v>81753.173721494197</v>
      </c>
      <c r="V667" s="73"/>
      <c r="X667" s="30"/>
      <c r="Y667" s="54">
        <v>658</v>
      </c>
      <c r="Z667" s="70">
        <v>32329.150000000023</v>
      </c>
      <c r="AA667" s="75">
        <v>9006</v>
      </c>
      <c r="AB667" s="75">
        <v>8092.2000000000007</v>
      </c>
      <c r="AC667" s="75">
        <v>72829.8</v>
      </c>
      <c r="AD667" s="194">
        <v>311595.90000000002</v>
      </c>
      <c r="AE667" s="194">
        <v>7046.1</v>
      </c>
      <c r="AF667" s="76">
        <v>0.1</v>
      </c>
      <c r="AG667" s="70">
        <v>3152.1000000000008</v>
      </c>
      <c r="AH667" s="31"/>
    </row>
    <row r="668" spans="3:34" x14ac:dyDescent="0.25">
      <c r="C668" s="72"/>
      <c r="D668" s="54">
        <v>659</v>
      </c>
      <c r="E668" s="70">
        <v>30635.27</v>
      </c>
      <c r="F668" s="75">
        <v>7117</v>
      </c>
      <c r="G668" s="75">
        <v>82811</v>
      </c>
      <c r="H668" s="194">
        <v>314748</v>
      </c>
      <c r="I668" s="194">
        <v>11892.08</v>
      </c>
      <c r="J668" s="75">
        <v>81753.173721494197</v>
      </c>
      <c r="K668" s="73"/>
      <c r="M668" s="72"/>
      <c r="N668" s="54">
        <v>659</v>
      </c>
      <c r="O668" s="70">
        <v>49240.915000000001</v>
      </c>
      <c r="P668" s="75">
        <v>12326</v>
      </c>
      <c r="Q668" s="75">
        <v>81690</v>
      </c>
      <c r="R668" s="194">
        <v>327546.065</v>
      </c>
      <c r="S668" s="194">
        <v>6084.5</v>
      </c>
      <c r="T668" s="70">
        <v>1509.9350000000006</v>
      </c>
      <c r="U668" s="80">
        <v>81753.173721494197</v>
      </c>
      <c r="V668" s="73"/>
      <c r="X668" s="30"/>
      <c r="Y668" s="54">
        <v>659</v>
      </c>
      <c r="Z668" s="70">
        <v>30978.849999999988</v>
      </c>
      <c r="AA668" s="75">
        <v>13507</v>
      </c>
      <c r="AB668" s="75">
        <v>4585.26</v>
      </c>
      <c r="AC668" s="75">
        <v>71835.740000000005</v>
      </c>
      <c r="AD668" s="194">
        <v>310020.55</v>
      </c>
      <c r="AE668" s="194">
        <v>6821.05</v>
      </c>
      <c r="AF668" s="76">
        <v>0.06</v>
      </c>
      <c r="AG668" s="70">
        <v>4727.4500000000016</v>
      </c>
      <c r="AH668" s="31"/>
    </row>
    <row r="669" spans="3:34" x14ac:dyDescent="0.25">
      <c r="C669" s="72"/>
      <c r="D669" s="54">
        <v>660</v>
      </c>
      <c r="E669" s="70">
        <v>44493.59</v>
      </c>
      <c r="F669" s="75">
        <v>5578</v>
      </c>
      <c r="G669" s="75">
        <v>88438</v>
      </c>
      <c r="H669" s="194">
        <v>329056</v>
      </c>
      <c r="I669" s="194">
        <v>12341.76</v>
      </c>
      <c r="J669" s="75">
        <v>81753.173721494197</v>
      </c>
      <c r="K669" s="73"/>
      <c r="M669" s="72"/>
      <c r="N669" s="54">
        <v>660</v>
      </c>
      <c r="O669" s="70">
        <v>49382.29</v>
      </c>
      <c r="P669" s="75">
        <v>10376</v>
      </c>
      <c r="Q669" s="75">
        <v>83640</v>
      </c>
      <c r="R669" s="194">
        <v>327784.94</v>
      </c>
      <c r="S669" s="194">
        <v>6182</v>
      </c>
      <c r="T669" s="70">
        <v>1271.0600000000006</v>
      </c>
      <c r="U669" s="80">
        <v>81753.173721494197</v>
      </c>
      <c r="V669" s="73"/>
      <c r="X669" s="30"/>
      <c r="Y669" s="54">
        <v>660</v>
      </c>
      <c r="Z669" s="70">
        <v>45443.650000000009</v>
      </c>
      <c r="AA669" s="75">
        <v>12303</v>
      </c>
      <c r="AB669" s="75">
        <v>7354.17</v>
      </c>
      <c r="AC669" s="75">
        <v>74358.83</v>
      </c>
      <c r="AD669" s="194">
        <v>324749.95</v>
      </c>
      <c r="AE669" s="194">
        <v>7085.65</v>
      </c>
      <c r="AF669" s="76">
        <v>0.09</v>
      </c>
      <c r="AG669" s="70">
        <v>4306.0500000000011</v>
      </c>
      <c r="AH669" s="31"/>
    </row>
    <row r="670" spans="3:34" x14ac:dyDescent="0.25">
      <c r="C670" s="72"/>
      <c r="D670" s="54">
        <v>661</v>
      </c>
      <c r="E670" s="70">
        <v>44493.59</v>
      </c>
      <c r="F670" s="75">
        <v>8445</v>
      </c>
      <c r="G670" s="75">
        <v>85571</v>
      </c>
      <c r="H670" s="194">
        <v>329056</v>
      </c>
      <c r="I670" s="194">
        <v>12341.76</v>
      </c>
      <c r="J670" s="75">
        <v>81753.173721494197</v>
      </c>
      <c r="K670" s="73"/>
      <c r="M670" s="72"/>
      <c r="N670" s="54">
        <v>661</v>
      </c>
      <c r="O670" s="70">
        <v>49459.865000000013</v>
      </c>
      <c r="P670" s="75">
        <v>9306</v>
      </c>
      <c r="Q670" s="75">
        <v>84710</v>
      </c>
      <c r="R670" s="194">
        <v>327916.01500000001</v>
      </c>
      <c r="S670" s="194">
        <v>6235.5</v>
      </c>
      <c r="T670" s="70">
        <v>1139.9850000000006</v>
      </c>
      <c r="U670" s="80">
        <v>81753.173721494197</v>
      </c>
      <c r="V670" s="73"/>
      <c r="X670" s="30"/>
      <c r="Y670" s="54">
        <v>661</v>
      </c>
      <c r="Z670" s="70">
        <v>86957.799999999988</v>
      </c>
      <c r="AA670" s="75">
        <v>14947</v>
      </c>
      <c r="AB670" s="75">
        <v>7306.56</v>
      </c>
      <c r="AC670" s="75">
        <v>84025.44</v>
      </c>
      <c r="AD670" s="194">
        <v>366745.05</v>
      </c>
      <c r="AE670" s="194">
        <v>7566.6</v>
      </c>
      <c r="AF670" s="76">
        <v>0.08</v>
      </c>
      <c r="AG670" s="70">
        <v>5231.4500000000016</v>
      </c>
      <c r="AH670" s="31"/>
    </row>
    <row r="671" spans="3:34" x14ac:dyDescent="0.25">
      <c r="C671" s="72"/>
      <c r="D671" s="54">
        <v>662</v>
      </c>
      <c r="E671" s="70">
        <v>44493.59</v>
      </c>
      <c r="F671" s="75">
        <v>8463</v>
      </c>
      <c r="G671" s="75">
        <v>85553</v>
      </c>
      <c r="H671" s="194">
        <v>329056</v>
      </c>
      <c r="I671" s="194">
        <v>12341.76</v>
      </c>
      <c r="J671" s="75">
        <v>81753.173721494197</v>
      </c>
      <c r="K671" s="73"/>
      <c r="M671" s="72"/>
      <c r="N671" s="54">
        <v>662</v>
      </c>
      <c r="O671" s="70">
        <v>63534.972499999996</v>
      </c>
      <c r="P671" s="75">
        <v>9699</v>
      </c>
      <c r="Q671" s="75">
        <v>88405</v>
      </c>
      <c r="R671" s="194">
        <v>342175.8725</v>
      </c>
      <c r="S671" s="194">
        <v>6420.25</v>
      </c>
      <c r="T671" s="70">
        <v>1188.1275000000005</v>
      </c>
      <c r="U671" s="80">
        <v>81753.173721494197</v>
      </c>
      <c r="V671" s="73"/>
      <c r="X671" s="30"/>
      <c r="Y671" s="54">
        <v>662</v>
      </c>
      <c r="Z671" s="70">
        <v>44884.44999999999</v>
      </c>
      <c r="AA671" s="75">
        <v>14167</v>
      </c>
      <c r="AB671" s="75">
        <v>6387.92</v>
      </c>
      <c r="AC671" s="75">
        <v>73461.08</v>
      </c>
      <c r="AD671" s="194">
        <v>324097.55</v>
      </c>
      <c r="AE671" s="194">
        <v>6992.4500000000007</v>
      </c>
      <c r="AF671" s="76">
        <v>0.08</v>
      </c>
      <c r="AG671" s="70">
        <v>4958.4500000000016</v>
      </c>
      <c r="AH671" s="31"/>
    </row>
    <row r="672" spans="3:34" x14ac:dyDescent="0.25">
      <c r="C672" s="72"/>
      <c r="D672" s="54">
        <v>663</v>
      </c>
      <c r="E672" s="70">
        <v>44493.59</v>
      </c>
      <c r="F672" s="75">
        <v>9227</v>
      </c>
      <c r="G672" s="75">
        <v>84789</v>
      </c>
      <c r="H672" s="194">
        <v>329056</v>
      </c>
      <c r="I672" s="194">
        <v>12341.76</v>
      </c>
      <c r="J672" s="75">
        <v>81753.173721494197</v>
      </c>
      <c r="K672" s="73"/>
      <c r="M672" s="72"/>
      <c r="N672" s="54">
        <v>663</v>
      </c>
      <c r="O672" s="70">
        <v>35133.327500000014</v>
      </c>
      <c r="P672" s="75">
        <v>12381</v>
      </c>
      <c r="Q672" s="75">
        <v>77547</v>
      </c>
      <c r="R672" s="194">
        <v>313231.32750000001</v>
      </c>
      <c r="S672" s="194">
        <v>5877.35</v>
      </c>
      <c r="T672" s="70">
        <v>1516.6725000000006</v>
      </c>
      <c r="U672" s="80">
        <v>81753.173721494197</v>
      </c>
      <c r="V672" s="73"/>
      <c r="X672" s="30"/>
      <c r="Y672" s="54">
        <v>663</v>
      </c>
      <c r="Z672" s="70">
        <v>31546.45</v>
      </c>
      <c r="AA672" s="75">
        <v>11615</v>
      </c>
      <c r="AB672" s="75">
        <v>6265.04</v>
      </c>
      <c r="AC672" s="75">
        <v>72047.960000000006</v>
      </c>
      <c r="AD672" s="194">
        <v>310682.75</v>
      </c>
      <c r="AE672" s="194">
        <v>6915.65</v>
      </c>
      <c r="AF672" s="76">
        <v>0.08</v>
      </c>
      <c r="AG672" s="70">
        <v>4065.2500000000009</v>
      </c>
      <c r="AH672" s="31"/>
    </row>
    <row r="673" spans="3:34" x14ac:dyDescent="0.25">
      <c r="C673" s="72"/>
      <c r="D673" s="54">
        <v>664</v>
      </c>
      <c r="E673" s="70">
        <v>44493.59</v>
      </c>
      <c r="F673" s="75">
        <v>5623</v>
      </c>
      <c r="G673" s="75">
        <v>88393</v>
      </c>
      <c r="H673" s="194">
        <v>329056</v>
      </c>
      <c r="I673" s="194">
        <v>12341.76</v>
      </c>
      <c r="J673" s="75">
        <v>81753.173721494197</v>
      </c>
      <c r="K673" s="73"/>
      <c r="M673" s="72"/>
      <c r="N673" s="54">
        <v>664</v>
      </c>
      <c r="O673" s="70">
        <v>35188.934999999976</v>
      </c>
      <c r="P673" s="75">
        <v>11614</v>
      </c>
      <c r="Q673" s="75">
        <v>78314</v>
      </c>
      <c r="R673" s="194">
        <v>313325.28499999997</v>
      </c>
      <c r="S673" s="194">
        <v>5915.7000000000007</v>
      </c>
      <c r="T673" s="70">
        <v>1422.7150000000006</v>
      </c>
      <c r="U673" s="80">
        <v>81753.173721494197</v>
      </c>
      <c r="V673" s="73"/>
      <c r="X673" s="30"/>
      <c r="Y673" s="54">
        <v>664</v>
      </c>
      <c r="Z673" s="70">
        <v>31775.650000000023</v>
      </c>
      <c r="AA673" s="75">
        <v>10851</v>
      </c>
      <c r="AB673" s="75">
        <v>3953.8500000000004</v>
      </c>
      <c r="AC673" s="75">
        <v>75123.149999999994</v>
      </c>
      <c r="AD673" s="194">
        <v>310950.15000000002</v>
      </c>
      <c r="AE673" s="194">
        <v>6953.85</v>
      </c>
      <c r="AF673" s="76">
        <v>0.05</v>
      </c>
      <c r="AG673" s="70">
        <v>3797.8500000000008</v>
      </c>
      <c r="AH673" s="31"/>
    </row>
    <row r="674" spans="3:34" x14ac:dyDescent="0.25">
      <c r="C674" s="72"/>
      <c r="D674" s="54">
        <v>665</v>
      </c>
      <c r="E674" s="70">
        <v>86065.16</v>
      </c>
      <c r="F674" s="75">
        <v>10565</v>
      </c>
      <c r="G674" s="75">
        <v>95714</v>
      </c>
      <c r="H674" s="194">
        <v>371976.5</v>
      </c>
      <c r="I674" s="194">
        <v>13690.69</v>
      </c>
      <c r="J674" s="75">
        <v>81753.173721494197</v>
      </c>
      <c r="K674" s="73"/>
      <c r="M674" s="72"/>
      <c r="N674" s="54">
        <v>665</v>
      </c>
      <c r="O674" s="70">
        <v>63169.064999999988</v>
      </c>
      <c r="P674" s="75">
        <v>14746</v>
      </c>
      <c r="Q674" s="75">
        <v>83358</v>
      </c>
      <c r="R674" s="194">
        <v>341557.61499999999</v>
      </c>
      <c r="S674" s="194">
        <v>6167.9000000000005</v>
      </c>
      <c r="T674" s="70">
        <v>1806.3850000000007</v>
      </c>
      <c r="U674" s="80">
        <v>81753.173721494197</v>
      </c>
      <c r="V674" s="73"/>
      <c r="X674" s="30"/>
      <c r="Y674" s="54">
        <v>665</v>
      </c>
      <c r="Z674" s="70">
        <v>58831.750000000015</v>
      </c>
      <c r="AA674" s="75">
        <v>14688</v>
      </c>
      <c r="AB674" s="75">
        <v>5004.96</v>
      </c>
      <c r="AC674" s="75">
        <v>78411.039999999994</v>
      </c>
      <c r="AD674" s="194">
        <v>338223.2</v>
      </c>
      <c r="AE674" s="194">
        <v>7170.8</v>
      </c>
      <c r="AF674" s="76">
        <v>0.06</v>
      </c>
      <c r="AG674" s="70">
        <v>5140.8000000000011</v>
      </c>
      <c r="AH674" s="31"/>
    </row>
    <row r="675" spans="3:34" x14ac:dyDescent="0.25">
      <c r="C675" s="72"/>
      <c r="D675" s="54">
        <v>666</v>
      </c>
      <c r="E675" s="70">
        <v>30635.27</v>
      </c>
      <c r="F675" s="75">
        <v>4566</v>
      </c>
      <c r="G675" s="75">
        <v>85362</v>
      </c>
      <c r="H675" s="194">
        <v>314748</v>
      </c>
      <c r="I675" s="194">
        <v>11892.08</v>
      </c>
      <c r="J675" s="75">
        <v>81753.173721494197</v>
      </c>
      <c r="K675" s="73"/>
      <c r="M675" s="72"/>
      <c r="N675" s="54">
        <v>666</v>
      </c>
      <c r="O675" s="70">
        <v>35058.144999999982</v>
      </c>
      <c r="P675" s="75">
        <v>13418</v>
      </c>
      <c r="Q675" s="75">
        <v>76510</v>
      </c>
      <c r="R675" s="194">
        <v>313104.29499999998</v>
      </c>
      <c r="S675" s="194">
        <v>5825.5</v>
      </c>
      <c r="T675" s="70">
        <v>1643.7050000000006</v>
      </c>
      <c r="U675" s="80">
        <v>81753.173721494197</v>
      </c>
      <c r="V675" s="73"/>
      <c r="X675" s="30"/>
      <c r="Y675" s="54">
        <v>666</v>
      </c>
      <c r="Z675" s="70">
        <v>87635.500000000015</v>
      </c>
      <c r="AA675" s="75">
        <v>12688</v>
      </c>
      <c r="AB675" s="75">
        <v>6551.3700000000008</v>
      </c>
      <c r="AC675" s="75">
        <v>87039.63</v>
      </c>
      <c r="AD675" s="194">
        <v>367535.7</v>
      </c>
      <c r="AE675" s="194">
        <v>7679.55</v>
      </c>
      <c r="AF675" s="76">
        <v>7.0000000000000007E-2</v>
      </c>
      <c r="AG675" s="70">
        <v>4440.8000000000011</v>
      </c>
      <c r="AH675" s="31"/>
    </row>
    <row r="676" spans="3:34" x14ac:dyDescent="0.25">
      <c r="C676" s="72"/>
      <c r="D676" s="54">
        <v>667</v>
      </c>
      <c r="E676" s="70">
        <v>44493.59</v>
      </c>
      <c r="F676" s="75">
        <v>9358</v>
      </c>
      <c r="G676" s="75">
        <v>84658</v>
      </c>
      <c r="H676" s="194">
        <v>329056</v>
      </c>
      <c r="I676" s="194">
        <v>12341.76</v>
      </c>
      <c r="J676" s="75">
        <v>81753.173721494197</v>
      </c>
      <c r="K676" s="73"/>
      <c r="M676" s="72"/>
      <c r="N676" s="54">
        <v>667</v>
      </c>
      <c r="O676" s="70">
        <v>49155.8</v>
      </c>
      <c r="P676" s="75">
        <v>13500</v>
      </c>
      <c r="Q676" s="75">
        <v>80516</v>
      </c>
      <c r="R676" s="194">
        <v>327402.25</v>
      </c>
      <c r="S676" s="194">
        <v>6025.8</v>
      </c>
      <c r="T676" s="70">
        <v>1653.7500000000007</v>
      </c>
      <c r="U676" s="80">
        <v>81753.173721494197</v>
      </c>
      <c r="V676" s="73"/>
      <c r="X676" s="30"/>
      <c r="Y676" s="54">
        <v>667</v>
      </c>
      <c r="Z676" s="70">
        <v>31552.749999999978</v>
      </c>
      <c r="AA676" s="75">
        <v>11594</v>
      </c>
      <c r="AB676" s="75">
        <v>3916.7000000000003</v>
      </c>
      <c r="AC676" s="75">
        <v>74417.3</v>
      </c>
      <c r="AD676" s="194">
        <v>310690.09999999998</v>
      </c>
      <c r="AE676" s="194">
        <v>6916.7000000000007</v>
      </c>
      <c r="AF676" s="76">
        <v>0.05</v>
      </c>
      <c r="AG676" s="70">
        <v>4057.900000000001</v>
      </c>
      <c r="AH676" s="31"/>
    </row>
    <row r="677" spans="3:34" x14ac:dyDescent="0.25">
      <c r="C677" s="72"/>
      <c r="D677" s="54">
        <v>668</v>
      </c>
      <c r="E677" s="70">
        <v>58351.91</v>
      </c>
      <c r="F677" s="75">
        <v>9848</v>
      </c>
      <c r="G677" s="75">
        <v>88256</v>
      </c>
      <c r="H677" s="194">
        <v>343364</v>
      </c>
      <c r="I677" s="194">
        <v>12791.44</v>
      </c>
      <c r="J677" s="75">
        <v>81753.173721494197</v>
      </c>
      <c r="K677" s="73"/>
      <c r="M677" s="72"/>
      <c r="N677" s="54">
        <v>668</v>
      </c>
      <c r="O677" s="70">
        <v>35110.707499999982</v>
      </c>
      <c r="P677" s="75">
        <v>12693</v>
      </c>
      <c r="Q677" s="75">
        <v>77235</v>
      </c>
      <c r="R677" s="194">
        <v>313193.10749999998</v>
      </c>
      <c r="S677" s="194">
        <v>5861.75</v>
      </c>
      <c r="T677" s="70">
        <v>1554.8925000000006</v>
      </c>
      <c r="U677" s="80">
        <v>81753.173721494197</v>
      </c>
      <c r="V677" s="73"/>
      <c r="X677" s="30"/>
      <c r="Y677" s="54">
        <v>668</v>
      </c>
      <c r="Z677" s="70">
        <v>45223.44999999999</v>
      </c>
      <c r="AA677" s="75">
        <v>13037</v>
      </c>
      <c r="AB677" s="75">
        <v>5668.5300000000007</v>
      </c>
      <c r="AC677" s="75">
        <v>75310.47</v>
      </c>
      <c r="AD677" s="194">
        <v>324493.05</v>
      </c>
      <c r="AE677" s="194">
        <v>7048.9500000000007</v>
      </c>
      <c r="AF677" s="76">
        <v>7.0000000000000007E-2</v>
      </c>
      <c r="AG677" s="70">
        <v>4562.9500000000007</v>
      </c>
      <c r="AH677" s="31"/>
    </row>
    <row r="678" spans="3:34" x14ac:dyDescent="0.25">
      <c r="C678" s="72"/>
      <c r="D678" s="54">
        <v>669</v>
      </c>
      <c r="E678" s="70">
        <v>58351.91</v>
      </c>
      <c r="F678" s="75">
        <v>9870</v>
      </c>
      <c r="G678" s="75">
        <v>88234</v>
      </c>
      <c r="H678" s="194">
        <v>343364</v>
      </c>
      <c r="I678" s="194">
        <v>12791.44</v>
      </c>
      <c r="J678" s="75">
        <v>81753.173721494197</v>
      </c>
      <c r="K678" s="73"/>
      <c r="M678" s="72"/>
      <c r="N678" s="54">
        <v>669</v>
      </c>
      <c r="O678" s="70">
        <v>49382.29</v>
      </c>
      <c r="P678" s="75">
        <v>10376</v>
      </c>
      <c r="Q678" s="75">
        <v>83640</v>
      </c>
      <c r="R678" s="194">
        <v>327784.94</v>
      </c>
      <c r="S678" s="194">
        <v>6182</v>
      </c>
      <c r="T678" s="70">
        <v>1271.0600000000006</v>
      </c>
      <c r="U678" s="80">
        <v>81753.173721494197</v>
      </c>
      <c r="V678" s="73"/>
      <c r="X678" s="30"/>
      <c r="Y678" s="54">
        <v>669</v>
      </c>
      <c r="Z678" s="70">
        <v>45764.05</v>
      </c>
      <c r="AA678" s="75">
        <v>11235</v>
      </c>
      <c r="AB678" s="75">
        <v>6622.4800000000005</v>
      </c>
      <c r="AC678" s="75">
        <v>76158.52</v>
      </c>
      <c r="AD678" s="194">
        <v>325123.75</v>
      </c>
      <c r="AE678" s="194">
        <v>7139.05</v>
      </c>
      <c r="AF678" s="76">
        <v>0.08</v>
      </c>
      <c r="AG678" s="70">
        <v>3932.2500000000009</v>
      </c>
      <c r="AH678" s="31"/>
    </row>
    <row r="679" spans="3:34" x14ac:dyDescent="0.25">
      <c r="C679" s="72"/>
      <c r="D679" s="54">
        <v>670</v>
      </c>
      <c r="E679" s="70">
        <v>58351.91</v>
      </c>
      <c r="F679" s="75">
        <v>7856</v>
      </c>
      <c r="G679" s="75">
        <v>90248</v>
      </c>
      <c r="H679" s="194">
        <v>343364</v>
      </c>
      <c r="I679" s="194">
        <v>12791.44</v>
      </c>
      <c r="J679" s="75">
        <v>81753.173721494197</v>
      </c>
      <c r="K679" s="73"/>
      <c r="M679" s="72"/>
      <c r="N679" s="54">
        <v>670</v>
      </c>
      <c r="O679" s="70">
        <v>49456.385000000009</v>
      </c>
      <c r="P679" s="75">
        <v>9354</v>
      </c>
      <c r="Q679" s="75">
        <v>84662</v>
      </c>
      <c r="R679" s="194">
        <v>327910.13500000001</v>
      </c>
      <c r="S679" s="194">
        <v>6233.1</v>
      </c>
      <c r="T679" s="70">
        <v>1145.8650000000005</v>
      </c>
      <c r="U679" s="80">
        <v>81753.173721494197</v>
      </c>
      <c r="V679" s="73"/>
      <c r="X679" s="30"/>
      <c r="Y679" s="54">
        <v>670</v>
      </c>
      <c r="Z679" s="70">
        <v>59057.049999999988</v>
      </c>
      <c r="AA679" s="75">
        <v>13937</v>
      </c>
      <c r="AB679" s="75">
        <v>5891.6900000000005</v>
      </c>
      <c r="AC679" s="75">
        <v>78275.31</v>
      </c>
      <c r="AD679" s="194">
        <v>338486.05</v>
      </c>
      <c r="AE679" s="194">
        <v>7208.35</v>
      </c>
      <c r="AF679" s="76">
        <v>7.0000000000000007E-2</v>
      </c>
      <c r="AG679" s="70">
        <v>4877.9500000000016</v>
      </c>
      <c r="AH679" s="31"/>
    </row>
    <row r="680" spans="3:34" x14ac:dyDescent="0.25">
      <c r="C680" s="72"/>
      <c r="D680" s="54">
        <v>671</v>
      </c>
      <c r="E680" s="70">
        <v>30635.27</v>
      </c>
      <c r="F680" s="75">
        <v>7908</v>
      </c>
      <c r="G680" s="75">
        <v>82020</v>
      </c>
      <c r="H680" s="194">
        <v>314748</v>
      </c>
      <c r="I680" s="194">
        <v>11892.08</v>
      </c>
      <c r="J680" s="75">
        <v>81753.173721494197</v>
      </c>
      <c r="K680" s="73"/>
      <c r="M680" s="72"/>
      <c r="N680" s="54">
        <v>671</v>
      </c>
      <c r="O680" s="70">
        <v>35245.049999999974</v>
      </c>
      <c r="P680" s="75">
        <v>10840</v>
      </c>
      <c r="Q680" s="75">
        <v>79088</v>
      </c>
      <c r="R680" s="194">
        <v>313420.09999999998</v>
      </c>
      <c r="S680" s="194">
        <v>5954.4</v>
      </c>
      <c r="T680" s="70">
        <v>1327.9000000000005</v>
      </c>
      <c r="U680" s="80">
        <v>81753.173721494197</v>
      </c>
      <c r="V680" s="73"/>
      <c r="X680" s="30"/>
      <c r="Y680" s="54">
        <v>671</v>
      </c>
      <c r="Z680" s="70">
        <v>45728.650000000009</v>
      </c>
      <c r="AA680" s="75">
        <v>11353</v>
      </c>
      <c r="AB680" s="75">
        <v>8266.3000000000011</v>
      </c>
      <c r="AC680" s="75">
        <v>74396.7</v>
      </c>
      <c r="AD680" s="194">
        <v>325082.45</v>
      </c>
      <c r="AE680" s="194">
        <v>7133.1500000000005</v>
      </c>
      <c r="AF680" s="76">
        <v>0.1</v>
      </c>
      <c r="AG680" s="70">
        <v>3973.5500000000011</v>
      </c>
      <c r="AH680" s="31"/>
    </row>
    <row r="681" spans="3:34" x14ac:dyDescent="0.25">
      <c r="C681" s="72"/>
      <c r="D681" s="54">
        <v>672</v>
      </c>
      <c r="E681" s="70">
        <v>58351.91</v>
      </c>
      <c r="F681" s="75">
        <v>8740</v>
      </c>
      <c r="G681" s="75">
        <v>89364</v>
      </c>
      <c r="H681" s="194">
        <v>343364</v>
      </c>
      <c r="I681" s="194">
        <v>12791.44</v>
      </c>
      <c r="J681" s="75">
        <v>81753.173721494197</v>
      </c>
      <c r="K681" s="73"/>
      <c r="M681" s="72"/>
      <c r="N681" s="54">
        <v>672</v>
      </c>
      <c r="O681" s="70">
        <v>49384.754999999983</v>
      </c>
      <c r="P681" s="75">
        <v>10342</v>
      </c>
      <c r="Q681" s="75">
        <v>83674</v>
      </c>
      <c r="R681" s="194">
        <v>327789.10499999998</v>
      </c>
      <c r="S681" s="194">
        <v>6183.7</v>
      </c>
      <c r="T681" s="70">
        <v>1266.8950000000007</v>
      </c>
      <c r="U681" s="80">
        <v>81753.173721494197</v>
      </c>
      <c r="V681" s="73"/>
      <c r="X681" s="30"/>
      <c r="Y681" s="54">
        <v>672</v>
      </c>
      <c r="Z681" s="70">
        <v>46037.05</v>
      </c>
      <c r="AA681" s="75">
        <v>10325</v>
      </c>
      <c r="AB681" s="75">
        <v>5021.46</v>
      </c>
      <c r="AC681" s="75">
        <v>78669.539999999994</v>
      </c>
      <c r="AD681" s="194">
        <v>325442.25</v>
      </c>
      <c r="AE681" s="194">
        <v>7184.55</v>
      </c>
      <c r="AF681" s="76">
        <v>0.06</v>
      </c>
      <c r="AG681" s="70">
        <v>3613.7500000000009</v>
      </c>
      <c r="AH681" s="31"/>
    </row>
    <row r="682" spans="3:34" x14ac:dyDescent="0.25">
      <c r="C682" s="72"/>
      <c r="D682" s="54">
        <v>673</v>
      </c>
      <c r="E682" s="70">
        <v>58351.91</v>
      </c>
      <c r="F682" s="75">
        <v>7932</v>
      </c>
      <c r="G682" s="75">
        <v>90172</v>
      </c>
      <c r="H682" s="194">
        <v>343364</v>
      </c>
      <c r="I682" s="194">
        <v>12791.44</v>
      </c>
      <c r="J682" s="75">
        <v>81753.173721494197</v>
      </c>
      <c r="K682" s="73"/>
      <c r="M682" s="72"/>
      <c r="N682" s="54">
        <v>673</v>
      </c>
      <c r="O682" s="70">
        <v>91293.789999999964</v>
      </c>
      <c r="P682" s="75">
        <v>15836</v>
      </c>
      <c r="Q682" s="75">
        <v>90443</v>
      </c>
      <c r="R682" s="194">
        <v>370036.58999999997</v>
      </c>
      <c r="S682" s="194">
        <v>6522.1500000000005</v>
      </c>
      <c r="T682" s="70">
        <v>1939.9100000000008</v>
      </c>
      <c r="U682" s="80">
        <v>81753.173721494197</v>
      </c>
      <c r="V682" s="73"/>
      <c r="X682" s="30"/>
      <c r="Y682" s="54">
        <v>673</v>
      </c>
      <c r="Z682" s="70">
        <v>31253.05000000001</v>
      </c>
      <c r="AA682" s="75">
        <v>12593</v>
      </c>
      <c r="AB682" s="75">
        <v>6186.8</v>
      </c>
      <c r="AC682" s="75">
        <v>71148.2</v>
      </c>
      <c r="AD682" s="194">
        <v>310340.45</v>
      </c>
      <c r="AE682" s="194">
        <v>6866.75</v>
      </c>
      <c r="AF682" s="76">
        <v>0.08</v>
      </c>
      <c r="AG682" s="70">
        <v>4407.5500000000011</v>
      </c>
      <c r="AH682" s="31"/>
    </row>
    <row r="683" spans="3:34" x14ac:dyDescent="0.25">
      <c r="C683" s="72"/>
      <c r="D683" s="54">
        <v>674</v>
      </c>
      <c r="E683" s="70">
        <v>30635.27</v>
      </c>
      <c r="F683" s="75">
        <v>4563</v>
      </c>
      <c r="G683" s="75">
        <v>85365</v>
      </c>
      <c r="H683" s="194">
        <v>314748</v>
      </c>
      <c r="I683" s="194">
        <v>11892.08</v>
      </c>
      <c r="J683" s="75">
        <v>81753.173721494197</v>
      </c>
      <c r="K683" s="73"/>
      <c r="M683" s="72"/>
      <c r="N683" s="54">
        <v>674</v>
      </c>
      <c r="O683" s="70">
        <v>35242.802499999991</v>
      </c>
      <c r="P683" s="75">
        <v>10871</v>
      </c>
      <c r="Q683" s="75">
        <v>79057</v>
      </c>
      <c r="R683" s="194">
        <v>313416.30249999999</v>
      </c>
      <c r="S683" s="194">
        <v>5952.85</v>
      </c>
      <c r="T683" s="70">
        <v>1331.6975000000007</v>
      </c>
      <c r="U683" s="80">
        <v>81753.173721494197</v>
      </c>
      <c r="V683" s="73"/>
      <c r="X683" s="30"/>
      <c r="Y683" s="54">
        <v>674</v>
      </c>
      <c r="Z683" s="70">
        <v>45744.250000000022</v>
      </c>
      <c r="AA683" s="75">
        <v>11301</v>
      </c>
      <c r="AB683" s="75">
        <v>7444.3499999999995</v>
      </c>
      <c r="AC683" s="75">
        <v>75270.649999999994</v>
      </c>
      <c r="AD683" s="194">
        <v>325100.65000000002</v>
      </c>
      <c r="AE683" s="194">
        <v>7135.75</v>
      </c>
      <c r="AF683" s="76">
        <v>0.09</v>
      </c>
      <c r="AG683" s="70">
        <v>3955.3500000000008</v>
      </c>
      <c r="AH683" s="31"/>
    </row>
    <row r="684" spans="3:34" x14ac:dyDescent="0.25">
      <c r="C684" s="72"/>
      <c r="D684" s="54">
        <v>675</v>
      </c>
      <c r="E684" s="70">
        <v>44493.59</v>
      </c>
      <c r="F684" s="75">
        <v>6609</v>
      </c>
      <c r="G684" s="75">
        <v>87407</v>
      </c>
      <c r="H684" s="194">
        <v>329056</v>
      </c>
      <c r="I684" s="194">
        <v>12341.76</v>
      </c>
      <c r="J684" s="75">
        <v>81753.173721494197</v>
      </c>
      <c r="K684" s="73"/>
      <c r="M684" s="72"/>
      <c r="N684" s="54">
        <v>675</v>
      </c>
      <c r="O684" s="70">
        <v>49162.034999999974</v>
      </c>
      <c r="P684" s="75">
        <v>13414</v>
      </c>
      <c r="Q684" s="75">
        <v>80602</v>
      </c>
      <c r="R684" s="194">
        <v>327412.78499999997</v>
      </c>
      <c r="S684" s="194">
        <v>6030.1</v>
      </c>
      <c r="T684" s="70">
        <v>1643.2150000000008</v>
      </c>
      <c r="U684" s="80">
        <v>81753.173721494197</v>
      </c>
      <c r="V684" s="73"/>
      <c r="X684" s="30"/>
      <c r="Y684" s="54">
        <v>675</v>
      </c>
      <c r="Z684" s="70">
        <v>60023.949999999975</v>
      </c>
      <c r="AA684" s="75">
        <v>10714</v>
      </c>
      <c r="AB684" s="75">
        <v>8739</v>
      </c>
      <c r="AC684" s="75">
        <v>78651</v>
      </c>
      <c r="AD684" s="194">
        <v>339614.1</v>
      </c>
      <c r="AE684" s="194">
        <v>7369.5</v>
      </c>
      <c r="AF684" s="76">
        <v>0.1</v>
      </c>
      <c r="AG684" s="70">
        <v>3749.900000000001</v>
      </c>
      <c r="AH684" s="31"/>
    </row>
    <row r="685" spans="3:34" x14ac:dyDescent="0.25">
      <c r="C685" s="72"/>
      <c r="D685" s="54">
        <v>676</v>
      </c>
      <c r="E685" s="70">
        <v>58351.91</v>
      </c>
      <c r="F685" s="75">
        <v>8815</v>
      </c>
      <c r="G685" s="75">
        <v>89289</v>
      </c>
      <c r="H685" s="194">
        <v>343364</v>
      </c>
      <c r="I685" s="194">
        <v>12791.44</v>
      </c>
      <c r="J685" s="75">
        <v>81753.173721494197</v>
      </c>
      <c r="K685" s="73"/>
      <c r="M685" s="72"/>
      <c r="N685" s="54">
        <v>676</v>
      </c>
      <c r="O685" s="70">
        <v>49315.517499999994</v>
      </c>
      <c r="P685" s="75">
        <v>11297</v>
      </c>
      <c r="Q685" s="75">
        <v>82719</v>
      </c>
      <c r="R685" s="194">
        <v>327672.11749999999</v>
      </c>
      <c r="S685" s="194">
        <v>6135.95</v>
      </c>
      <c r="T685" s="70">
        <v>1383.8825000000006</v>
      </c>
      <c r="U685" s="80">
        <v>81753.173721494197</v>
      </c>
      <c r="V685" s="73"/>
      <c r="X685" s="30"/>
      <c r="Y685" s="54">
        <v>676</v>
      </c>
      <c r="Z685" s="70">
        <v>58822.15</v>
      </c>
      <c r="AA685" s="75">
        <v>14720</v>
      </c>
      <c r="AB685" s="75">
        <v>6670.72</v>
      </c>
      <c r="AC685" s="75">
        <v>76713.279999999999</v>
      </c>
      <c r="AD685" s="194">
        <v>338212</v>
      </c>
      <c r="AE685" s="194">
        <v>7169.2</v>
      </c>
      <c r="AF685" s="76">
        <v>0.08</v>
      </c>
      <c r="AG685" s="70">
        <v>5152.0000000000009</v>
      </c>
      <c r="AH685" s="31"/>
    </row>
    <row r="686" spans="3:34" x14ac:dyDescent="0.25">
      <c r="C686" s="72"/>
      <c r="D686" s="54">
        <v>677</v>
      </c>
      <c r="E686" s="70">
        <v>44493.59</v>
      </c>
      <c r="F686" s="75">
        <v>8424</v>
      </c>
      <c r="G686" s="75">
        <v>85592</v>
      </c>
      <c r="H686" s="194">
        <v>329056</v>
      </c>
      <c r="I686" s="194">
        <v>12341.76</v>
      </c>
      <c r="J686" s="75">
        <v>81753.173721494197</v>
      </c>
      <c r="K686" s="73"/>
      <c r="M686" s="72"/>
      <c r="N686" s="54">
        <v>677</v>
      </c>
      <c r="O686" s="70">
        <v>91281.610000000015</v>
      </c>
      <c r="P686" s="75">
        <v>16004</v>
      </c>
      <c r="Q686" s="75">
        <v>90275</v>
      </c>
      <c r="R686" s="194">
        <v>370016.01</v>
      </c>
      <c r="S686" s="194">
        <v>6513.75</v>
      </c>
      <c r="T686" s="70">
        <v>1960.4900000000009</v>
      </c>
      <c r="U686" s="80">
        <v>81753.173721494197</v>
      </c>
      <c r="V686" s="73"/>
      <c r="X686" s="30"/>
      <c r="Y686" s="54">
        <v>677</v>
      </c>
      <c r="Z686" s="70">
        <v>86982.10000000002</v>
      </c>
      <c r="AA686" s="75">
        <v>14866</v>
      </c>
      <c r="AB686" s="75">
        <v>6398.9100000000008</v>
      </c>
      <c r="AC686" s="75">
        <v>85014.09</v>
      </c>
      <c r="AD686" s="194">
        <v>366773.4</v>
      </c>
      <c r="AE686" s="194">
        <v>7570.6500000000005</v>
      </c>
      <c r="AF686" s="76">
        <v>7.0000000000000007E-2</v>
      </c>
      <c r="AG686" s="70">
        <v>5203.1000000000013</v>
      </c>
      <c r="AH686" s="31"/>
    </row>
    <row r="687" spans="3:34" x14ac:dyDescent="0.25">
      <c r="C687" s="72"/>
      <c r="D687" s="54">
        <v>678</v>
      </c>
      <c r="E687" s="70">
        <v>44493.59</v>
      </c>
      <c r="F687" s="75">
        <v>8650</v>
      </c>
      <c r="G687" s="75">
        <v>85366</v>
      </c>
      <c r="H687" s="194">
        <v>329056</v>
      </c>
      <c r="I687" s="194">
        <v>12341.76</v>
      </c>
      <c r="J687" s="75">
        <v>81753.173721494197</v>
      </c>
      <c r="K687" s="73"/>
      <c r="M687" s="72"/>
      <c r="N687" s="54">
        <v>678</v>
      </c>
      <c r="O687" s="70">
        <v>63236.272499999985</v>
      </c>
      <c r="P687" s="75">
        <v>13819</v>
      </c>
      <c r="Q687" s="75">
        <v>84285</v>
      </c>
      <c r="R687" s="194">
        <v>341671.17249999999</v>
      </c>
      <c r="S687" s="194">
        <v>6214.25</v>
      </c>
      <c r="T687" s="70">
        <v>1692.8275000000008</v>
      </c>
      <c r="U687" s="80">
        <v>81753.173721494197</v>
      </c>
      <c r="V687" s="73"/>
      <c r="X687" s="30"/>
      <c r="Y687" s="54">
        <v>678</v>
      </c>
      <c r="Z687" s="70">
        <v>44891.94999999999</v>
      </c>
      <c r="AA687" s="75">
        <v>14142</v>
      </c>
      <c r="AB687" s="75">
        <v>7188.66</v>
      </c>
      <c r="AC687" s="75">
        <v>72685.34</v>
      </c>
      <c r="AD687" s="194">
        <v>324106.3</v>
      </c>
      <c r="AE687" s="194">
        <v>6993.7000000000007</v>
      </c>
      <c r="AF687" s="76">
        <v>0.09</v>
      </c>
      <c r="AG687" s="70">
        <v>4949.7000000000016</v>
      </c>
      <c r="AH687" s="31"/>
    </row>
    <row r="688" spans="3:34" x14ac:dyDescent="0.25">
      <c r="C688" s="72"/>
      <c r="D688" s="54">
        <v>679</v>
      </c>
      <c r="E688" s="70">
        <v>44493.59</v>
      </c>
      <c r="F688" s="75">
        <v>4742</v>
      </c>
      <c r="G688" s="75">
        <v>89274</v>
      </c>
      <c r="H688" s="194">
        <v>329056</v>
      </c>
      <c r="I688" s="194">
        <v>12341.76</v>
      </c>
      <c r="J688" s="75">
        <v>81753.173721494197</v>
      </c>
      <c r="K688" s="73"/>
      <c r="M688" s="72"/>
      <c r="N688" s="54">
        <v>679</v>
      </c>
      <c r="O688" s="70">
        <v>49183.204999999994</v>
      </c>
      <c r="P688" s="75">
        <v>13122</v>
      </c>
      <c r="Q688" s="75">
        <v>80894</v>
      </c>
      <c r="R688" s="194">
        <v>327448.55499999999</v>
      </c>
      <c r="S688" s="194">
        <v>6044.7000000000007</v>
      </c>
      <c r="T688" s="70">
        <v>1607.4450000000006</v>
      </c>
      <c r="U688" s="80">
        <v>81753.173721494197</v>
      </c>
      <c r="V688" s="73"/>
      <c r="X688" s="30"/>
      <c r="Y688" s="54">
        <v>679</v>
      </c>
      <c r="Z688" s="70">
        <v>31283.650000000023</v>
      </c>
      <c r="AA688" s="75">
        <v>12491</v>
      </c>
      <c r="AB688" s="75">
        <v>3871.8500000000004</v>
      </c>
      <c r="AC688" s="75">
        <v>73565.149999999994</v>
      </c>
      <c r="AD688" s="194">
        <v>310376.15000000002</v>
      </c>
      <c r="AE688" s="194">
        <v>6871.85</v>
      </c>
      <c r="AF688" s="76">
        <v>0.05</v>
      </c>
      <c r="AG688" s="70">
        <v>4371.8500000000013</v>
      </c>
      <c r="AH688" s="31"/>
    </row>
    <row r="689" spans="3:34" x14ac:dyDescent="0.25">
      <c r="C689" s="72"/>
      <c r="D689" s="54">
        <v>680</v>
      </c>
      <c r="E689" s="70">
        <v>44493.59</v>
      </c>
      <c r="F689" s="75">
        <v>9423</v>
      </c>
      <c r="G689" s="75">
        <v>84593</v>
      </c>
      <c r="H689" s="194">
        <v>329056</v>
      </c>
      <c r="I689" s="194">
        <v>12341.76</v>
      </c>
      <c r="J689" s="75">
        <v>81753.173721494197</v>
      </c>
      <c r="K689" s="73"/>
      <c r="M689" s="72"/>
      <c r="N689" s="54">
        <v>680</v>
      </c>
      <c r="O689" s="70">
        <v>63530.042499999981</v>
      </c>
      <c r="P689" s="75">
        <v>9767</v>
      </c>
      <c r="Q689" s="75">
        <v>88337</v>
      </c>
      <c r="R689" s="194">
        <v>342167.54249999998</v>
      </c>
      <c r="S689" s="194">
        <v>6416.85</v>
      </c>
      <c r="T689" s="70">
        <v>1196.4575000000004</v>
      </c>
      <c r="U689" s="80">
        <v>81753.173721494197</v>
      </c>
      <c r="V689" s="73"/>
      <c r="X689" s="30"/>
      <c r="Y689" s="54">
        <v>680</v>
      </c>
      <c r="Z689" s="70">
        <v>32055.849999999988</v>
      </c>
      <c r="AA689" s="75">
        <v>9917</v>
      </c>
      <c r="AB689" s="75">
        <v>6400.88</v>
      </c>
      <c r="AC689" s="75">
        <v>73610.12</v>
      </c>
      <c r="AD689" s="194">
        <v>311277.05</v>
      </c>
      <c r="AE689" s="194">
        <v>7000.55</v>
      </c>
      <c r="AF689" s="76">
        <v>0.08</v>
      </c>
      <c r="AG689" s="70">
        <v>3470.9500000000007</v>
      </c>
      <c r="AH689" s="31"/>
    </row>
    <row r="690" spans="3:34" x14ac:dyDescent="0.25">
      <c r="C690" s="72"/>
      <c r="D690" s="54">
        <v>681</v>
      </c>
      <c r="E690" s="70">
        <v>44493.59</v>
      </c>
      <c r="F690" s="75">
        <v>9430</v>
      </c>
      <c r="G690" s="75">
        <v>84586</v>
      </c>
      <c r="H690" s="194">
        <v>329056</v>
      </c>
      <c r="I690" s="194">
        <v>12341.76</v>
      </c>
      <c r="J690" s="75">
        <v>81753.173721494197</v>
      </c>
      <c r="K690" s="73"/>
      <c r="M690" s="72"/>
      <c r="N690" s="54">
        <v>681</v>
      </c>
      <c r="O690" s="70">
        <v>49172.329999999994</v>
      </c>
      <c r="P690" s="75">
        <v>13272</v>
      </c>
      <c r="Q690" s="75">
        <v>80744</v>
      </c>
      <c r="R690" s="194">
        <v>327430.18</v>
      </c>
      <c r="S690" s="194">
        <v>6037.2000000000007</v>
      </c>
      <c r="T690" s="70">
        <v>1625.8200000000006</v>
      </c>
      <c r="U690" s="80">
        <v>81753.173721494197</v>
      </c>
      <c r="V690" s="73"/>
      <c r="X690" s="30"/>
      <c r="Y690" s="54">
        <v>681</v>
      </c>
      <c r="Z690" s="70">
        <v>59688.250000000015</v>
      </c>
      <c r="AA690" s="75">
        <v>11833</v>
      </c>
      <c r="AB690" s="75">
        <v>7764.3899999999994</v>
      </c>
      <c r="AC690" s="75">
        <v>78506.61</v>
      </c>
      <c r="AD690" s="194">
        <v>339222.45</v>
      </c>
      <c r="AE690" s="194">
        <v>7313.55</v>
      </c>
      <c r="AF690" s="76">
        <v>0.09</v>
      </c>
      <c r="AG690" s="70">
        <v>4141.5500000000011</v>
      </c>
      <c r="AH690" s="31"/>
    </row>
    <row r="691" spans="3:34" x14ac:dyDescent="0.25">
      <c r="C691" s="72"/>
      <c r="D691" s="54">
        <v>682</v>
      </c>
      <c r="E691" s="70">
        <v>58351.91</v>
      </c>
      <c r="F691" s="75">
        <v>7867</v>
      </c>
      <c r="G691" s="75">
        <v>90237</v>
      </c>
      <c r="H691" s="194">
        <v>343364</v>
      </c>
      <c r="I691" s="194">
        <v>12791.44</v>
      </c>
      <c r="J691" s="75">
        <v>81753.173721494197</v>
      </c>
      <c r="K691" s="73"/>
      <c r="M691" s="72"/>
      <c r="N691" s="54">
        <v>682</v>
      </c>
      <c r="O691" s="70">
        <v>63450.437499999978</v>
      </c>
      <c r="P691" s="75">
        <v>10865</v>
      </c>
      <c r="Q691" s="75">
        <v>87239</v>
      </c>
      <c r="R691" s="194">
        <v>342033.03749999998</v>
      </c>
      <c r="S691" s="194">
        <v>6361.95</v>
      </c>
      <c r="T691" s="70">
        <v>1330.9625000000005</v>
      </c>
      <c r="U691" s="80">
        <v>81753.173721494197</v>
      </c>
      <c r="V691" s="73"/>
      <c r="X691" s="30"/>
      <c r="Y691" s="54">
        <v>682</v>
      </c>
      <c r="Z691" s="70">
        <v>45452.650000000009</v>
      </c>
      <c r="AA691" s="75">
        <v>12273</v>
      </c>
      <c r="AB691" s="75">
        <v>7356.87</v>
      </c>
      <c r="AC691" s="75">
        <v>74386.13</v>
      </c>
      <c r="AD691" s="194">
        <v>324760.45</v>
      </c>
      <c r="AE691" s="194">
        <v>7087.15</v>
      </c>
      <c r="AF691" s="76">
        <v>0.09</v>
      </c>
      <c r="AG691" s="70">
        <v>4295.5500000000011</v>
      </c>
      <c r="AH691" s="31"/>
    </row>
    <row r="692" spans="3:34" x14ac:dyDescent="0.25">
      <c r="C692" s="72"/>
      <c r="D692" s="54">
        <v>683</v>
      </c>
      <c r="E692" s="70">
        <v>30635.27</v>
      </c>
      <c r="F692" s="75">
        <v>8015</v>
      </c>
      <c r="G692" s="75">
        <v>81913</v>
      </c>
      <c r="H692" s="194">
        <v>314748</v>
      </c>
      <c r="I692" s="194">
        <v>11892.08</v>
      </c>
      <c r="J692" s="75">
        <v>81753.173721494197</v>
      </c>
      <c r="K692" s="73"/>
      <c r="M692" s="72"/>
      <c r="N692" s="54">
        <v>683</v>
      </c>
      <c r="O692" s="70">
        <v>35249.907499999994</v>
      </c>
      <c r="P692" s="75">
        <v>10773</v>
      </c>
      <c r="Q692" s="75">
        <v>79155</v>
      </c>
      <c r="R692" s="194">
        <v>313428.3075</v>
      </c>
      <c r="S692" s="194">
        <v>5957.75</v>
      </c>
      <c r="T692" s="70">
        <v>1319.6925000000006</v>
      </c>
      <c r="U692" s="80">
        <v>81753.173721494197</v>
      </c>
      <c r="V692" s="73"/>
      <c r="X692" s="30"/>
      <c r="Y692" s="54">
        <v>683</v>
      </c>
      <c r="Z692" s="70">
        <v>45767.650000000009</v>
      </c>
      <c r="AA692" s="75">
        <v>11223</v>
      </c>
      <c r="AB692" s="75">
        <v>6623.4400000000005</v>
      </c>
      <c r="AC692" s="75">
        <v>76169.56</v>
      </c>
      <c r="AD692" s="194">
        <v>325127.95</v>
      </c>
      <c r="AE692" s="194">
        <v>7139.6500000000005</v>
      </c>
      <c r="AF692" s="76">
        <v>0.08</v>
      </c>
      <c r="AG692" s="70">
        <v>3928.0500000000011</v>
      </c>
      <c r="AH692" s="31"/>
    </row>
    <row r="693" spans="3:34" x14ac:dyDescent="0.25">
      <c r="C693" s="72"/>
      <c r="D693" s="54">
        <v>684</v>
      </c>
      <c r="E693" s="70">
        <v>44493.59</v>
      </c>
      <c r="F693" s="75">
        <v>6577</v>
      </c>
      <c r="G693" s="75">
        <v>87439</v>
      </c>
      <c r="H693" s="194">
        <v>329056</v>
      </c>
      <c r="I693" s="194">
        <v>12341.76</v>
      </c>
      <c r="J693" s="75">
        <v>81753.173721494197</v>
      </c>
      <c r="K693" s="73"/>
      <c r="M693" s="72"/>
      <c r="N693" s="54">
        <v>684</v>
      </c>
      <c r="O693" s="70">
        <v>49390.772500000021</v>
      </c>
      <c r="P693" s="75">
        <v>10259</v>
      </c>
      <c r="Q693" s="75">
        <v>83757</v>
      </c>
      <c r="R693" s="194">
        <v>327799.27250000002</v>
      </c>
      <c r="S693" s="194">
        <v>6187.85</v>
      </c>
      <c r="T693" s="70">
        <v>1256.7275000000006</v>
      </c>
      <c r="U693" s="80">
        <v>81753.173721494197</v>
      </c>
      <c r="V693" s="73"/>
      <c r="X693" s="30"/>
      <c r="Y693" s="54">
        <v>684</v>
      </c>
      <c r="Z693" s="70">
        <v>60009.549999999988</v>
      </c>
      <c r="AA693" s="75">
        <v>10762</v>
      </c>
      <c r="AB693" s="75">
        <v>6113.9400000000005</v>
      </c>
      <c r="AC693" s="75">
        <v>81228.06</v>
      </c>
      <c r="AD693" s="194">
        <v>339597.3</v>
      </c>
      <c r="AE693" s="194">
        <v>7367.1</v>
      </c>
      <c r="AF693" s="76">
        <v>7.0000000000000007E-2</v>
      </c>
      <c r="AG693" s="70">
        <v>3766.7000000000012</v>
      </c>
      <c r="AH693" s="31"/>
    </row>
    <row r="694" spans="3:34" x14ac:dyDescent="0.25">
      <c r="C694" s="72"/>
      <c r="D694" s="54">
        <v>685</v>
      </c>
      <c r="E694" s="70">
        <v>58351.91</v>
      </c>
      <c r="F694" s="75">
        <v>8854</v>
      </c>
      <c r="G694" s="75">
        <v>89250</v>
      </c>
      <c r="H694" s="194">
        <v>343364</v>
      </c>
      <c r="I694" s="194">
        <v>12791.44</v>
      </c>
      <c r="J694" s="75">
        <v>81753.173721494197</v>
      </c>
      <c r="K694" s="73"/>
      <c r="M694" s="72"/>
      <c r="N694" s="54">
        <v>685</v>
      </c>
      <c r="O694" s="70">
        <v>63385.840000000011</v>
      </c>
      <c r="P694" s="75">
        <v>11756</v>
      </c>
      <c r="Q694" s="75">
        <v>86348</v>
      </c>
      <c r="R694" s="194">
        <v>341923.89</v>
      </c>
      <c r="S694" s="194">
        <v>6317.4000000000005</v>
      </c>
      <c r="T694" s="70">
        <v>1440.1100000000006</v>
      </c>
      <c r="U694" s="80">
        <v>81753.173721494197</v>
      </c>
      <c r="V694" s="73"/>
      <c r="X694" s="30"/>
      <c r="Y694" s="54">
        <v>685</v>
      </c>
      <c r="Z694" s="70">
        <v>31799.05000000001</v>
      </c>
      <c r="AA694" s="75">
        <v>10773</v>
      </c>
      <c r="AB694" s="75">
        <v>7123.95</v>
      </c>
      <c r="AC694" s="75">
        <v>72031.05</v>
      </c>
      <c r="AD694" s="194">
        <v>310977.45</v>
      </c>
      <c r="AE694" s="194">
        <v>6957.75</v>
      </c>
      <c r="AF694" s="76">
        <v>0.09</v>
      </c>
      <c r="AG694" s="70">
        <v>3770.5500000000011</v>
      </c>
      <c r="AH694" s="31"/>
    </row>
    <row r="695" spans="3:34" x14ac:dyDescent="0.25">
      <c r="C695" s="72"/>
      <c r="D695" s="54">
        <v>686</v>
      </c>
      <c r="E695" s="70">
        <v>44493.59</v>
      </c>
      <c r="F695" s="75">
        <v>5639</v>
      </c>
      <c r="G695" s="75">
        <v>88377</v>
      </c>
      <c r="H695" s="194">
        <v>329056</v>
      </c>
      <c r="I695" s="194">
        <v>12341.76</v>
      </c>
      <c r="J695" s="75">
        <v>81753.173721494197</v>
      </c>
      <c r="K695" s="73"/>
      <c r="M695" s="72"/>
      <c r="N695" s="54">
        <v>686</v>
      </c>
      <c r="O695" s="70">
        <v>49382.362500000003</v>
      </c>
      <c r="P695" s="75">
        <v>10375</v>
      </c>
      <c r="Q695" s="75">
        <v>83641</v>
      </c>
      <c r="R695" s="194">
        <v>327785.0625</v>
      </c>
      <c r="S695" s="194">
        <v>6182.05</v>
      </c>
      <c r="T695" s="70">
        <v>1270.9375000000005</v>
      </c>
      <c r="U695" s="80">
        <v>81753.173721494197</v>
      </c>
      <c r="V695" s="73"/>
      <c r="X695" s="30"/>
      <c r="Y695" s="54">
        <v>686</v>
      </c>
      <c r="Z695" s="70">
        <v>87907.299999999988</v>
      </c>
      <c r="AA695" s="75">
        <v>11782</v>
      </c>
      <c r="AB695" s="75">
        <v>6614.7900000000009</v>
      </c>
      <c r="AC695" s="75">
        <v>87882.209999999992</v>
      </c>
      <c r="AD695" s="194">
        <v>367852.79999999999</v>
      </c>
      <c r="AE695" s="194">
        <v>7724.85</v>
      </c>
      <c r="AF695" s="76">
        <v>7.0000000000000007E-2</v>
      </c>
      <c r="AG695" s="70">
        <v>4123.7000000000007</v>
      </c>
      <c r="AH695" s="31"/>
    </row>
    <row r="696" spans="3:34" x14ac:dyDescent="0.25">
      <c r="C696" s="72"/>
      <c r="D696" s="54">
        <v>687</v>
      </c>
      <c r="E696" s="70">
        <v>58351.91</v>
      </c>
      <c r="F696" s="75">
        <v>10059</v>
      </c>
      <c r="G696" s="75">
        <v>88045</v>
      </c>
      <c r="H696" s="194">
        <v>343364</v>
      </c>
      <c r="I696" s="194">
        <v>12791.44</v>
      </c>
      <c r="J696" s="75">
        <v>81753.173721494197</v>
      </c>
      <c r="K696" s="73"/>
      <c r="M696" s="72"/>
      <c r="N696" s="54">
        <v>687</v>
      </c>
      <c r="O696" s="70">
        <v>49107.58749999998</v>
      </c>
      <c r="P696" s="75">
        <v>14165</v>
      </c>
      <c r="Q696" s="75">
        <v>79851</v>
      </c>
      <c r="R696" s="194">
        <v>327320.78749999998</v>
      </c>
      <c r="S696" s="194">
        <v>5992.55</v>
      </c>
      <c r="T696" s="70">
        <v>1735.2125000000008</v>
      </c>
      <c r="U696" s="80">
        <v>81753.173721494197</v>
      </c>
      <c r="V696" s="73"/>
      <c r="X696" s="30"/>
      <c r="Y696" s="54">
        <v>687</v>
      </c>
      <c r="Z696" s="70">
        <v>59362.449999999975</v>
      </c>
      <c r="AA696" s="75">
        <v>12919</v>
      </c>
      <c r="AB696" s="75">
        <v>5962.9500000000007</v>
      </c>
      <c r="AC696" s="75">
        <v>79222.05</v>
      </c>
      <c r="AD696" s="194">
        <v>338842.35</v>
      </c>
      <c r="AE696" s="194">
        <v>7259.25</v>
      </c>
      <c r="AF696" s="76">
        <v>7.0000000000000007E-2</v>
      </c>
      <c r="AG696" s="70">
        <v>4521.6500000000015</v>
      </c>
      <c r="AH696" s="31"/>
    </row>
    <row r="697" spans="3:34" x14ac:dyDescent="0.25">
      <c r="C697" s="72"/>
      <c r="D697" s="54">
        <v>688</v>
      </c>
      <c r="E697" s="70">
        <v>44493.59</v>
      </c>
      <c r="F697" s="75">
        <v>9386</v>
      </c>
      <c r="G697" s="75">
        <v>84630</v>
      </c>
      <c r="H697" s="194">
        <v>329056</v>
      </c>
      <c r="I697" s="194">
        <v>12341.76</v>
      </c>
      <c r="J697" s="75">
        <v>81753.173721494197</v>
      </c>
      <c r="K697" s="73"/>
      <c r="M697" s="72"/>
      <c r="N697" s="54">
        <v>688</v>
      </c>
      <c r="O697" s="70">
        <v>49107.732499999969</v>
      </c>
      <c r="P697" s="75">
        <v>14163</v>
      </c>
      <c r="Q697" s="75">
        <v>79853</v>
      </c>
      <c r="R697" s="194">
        <v>327321.03249999997</v>
      </c>
      <c r="S697" s="194">
        <v>5992.65</v>
      </c>
      <c r="T697" s="70">
        <v>1734.9675000000007</v>
      </c>
      <c r="U697" s="80">
        <v>81753.173721494197</v>
      </c>
      <c r="V697" s="73"/>
      <c r="X697" s="30"/>
      <c r="Y697" s="54">
        <v>688</v>
      </c>
      <c r="Z697" s="70">
        <v>45982.750000000022</v>
      </c>
      <c r="AA697" s="75">
        <v>10506</v>
      </c>
      <c r="AB697" s="75">
        <v>7515.9</v>
      </c>
      <c r="AC697" s="75">
        <v>75994.100000000006</v>
      </c>
      <c r="AD697" s="194">
        <v>325378.90000000002</v>
      </c>
      <c r="AE697" s="194">
        <v>7175.5</v>
      </c>
      <c r="AF697" s="76">
        <v>0.09</v>
      </c>
      <c r="AG697" s="70">
        <v>3677.1000000000008</v>
      </c>
      <c r="AH697" s="31"/>
    </row>
    <row r="698" spans="3:34" x14ac:dyDescent="0.25">
      <c r="C698" s="72"/>
      <c r="D698" s="54">
        <v>689</v>
      </c>
      <c r="E698" s="70">
        <v>44493.59</v>
      </c>
      <c r="F698" s="75">
        <v>8520</v>
      </c>
      <c r="G698" s="75">
        <v>85496</v>
      </c>
      <c r="H698" s="194">
        <v>329056</v>
      </c>
      <c r="I698" s="194">
        <v>12341.76</v>
      </c>
      <c r="J698" s="75">
        <v>81753.173721494197</v>
      </c>
      <c r="K698" s="73"/>
      <c r="M698" s="72"/>
      <c r="N698" s="54">
        <v>689</v>
      </c>
      <c r="O698" s="70">
        <v>35117.667499999996</v>
      </c>
      <c r="P698" s="75">
        <v>12597</v>
      </c>
      <c r="Q698" s="75">
        <v>77331</v>
      </c>
      <c r="R698" s="194">
        <v>313204.86749999999</v>
      </c>
      <c r="S698" s="194">
        <v>5866.55</v>
      </c>
      <c r="T698" s="70">
        <v>1543.1325000000006</v>
      </c>
      <c r="U698" s="80">
        <v>81753.173721494197</v>
      </c>
      <c r="V698" s="73"/>
      <c r="X698" s="30"/>
      <c r="Y698" s="54">
        <v>689</v>
      </c>
      <c r="Z698" s="70">
        <v>59092.15</v>
      </c>
      <c r="AA698" s="75">
        <v>13820</v>
      </c>
      <c r="AB698" s="75">
        <v>7585.5599999999995</v>
      </c>
      <c r="AC698" s="75">
        <v>76698.44</v>
      </c>
      <c r="AD698" s="194">
        <v>338527</v>
      </c>
      <c r="AE698" s="194">
        <v>7214.2</v>
      </c>
      <c r="AF698" s="76">
        <v>0.09</v>
      </c>
      <c r="AG698" s="70">
        <v>4837.0000000000009</v>
      </c>
      <c r="AH698" s="31"/>
    </row>
    <row r="699" spans="3:34" x14ac:dyDescent="0.25">
      <c r="C699" s="72"/>
      <c r="D699" s="54">
        <v>690</v>
      </c>
      <c r="E699" s="70">
        <v>44493.59</v>
      </c>
      <c r="F699" s="75">
        <v>7564</v>
      </c>
      <c r="G699" s="75">
        <v>86452</v>
      </c>
      <c r="H699" s="194">
        <v>329056</v>
      </c>
      <c r="I699" s="194">
        <v>12341.76</v>
      </c>
      <c r="J699" s="75">
        <v>81753.173721494197</v>
      </c>
      <c r="K699" s="73"/>
      <c r="M699" s="72"/>
      <c r="N699" s="54">
        <v>690</v>
      </c>
      <c r="O699" s="70">
        <v>49450.947500000009</v>
      </c>
      <c r="P699" s="75">
        <v>9429</v>
      </c>
      <c r="Q699" s="75">
        <v>84587</v>
      </c>
      <c r="R699" s="194">
        <v>327900.94750000001</v>
      </c>
      <c r="S699" s="194">
        <v>6229.35</v>
      </c>
      <c r="T699" s="70">
        <v>1155.0525000000005</v>
      </c>
      <c r="U699" s="80">
        <v>81753.173721494197</v>
      </c>
      <c r="V699" s="73"/>
      <c r="X699" s="30"/>
      <c r="Y699" s="54">
        <v>690</v>
      </c>
      <c r="Z699" s="70">
        <v>87707.500000000015</v>
      </c>
      <c r="AA699" s="75">
        <v>12448</v>
      </c>
      <c r="AB699" s="75">
        <v>7506.4800000000005</v>
      </c>
      <c r="AC699" s="75">
        <v>86324.52</v>
      </c>
      <c r="AD699" s="194">
        <v>367619.7</v>
      </c>
      <c r="AE699" s="194">
        <v>7691.55</v>
      </c>
      <c r="AF699" s="76">
        <v>0.08</v>
      </c>
      <c r="AG699" s="70">
        <v>4356.8000000000011</v>
      </c>
      <c r="AH699" s="31"/>
    </row>
    <row r="700" spans="3:34" x14ac:dyDescent="0.25">
      <c r="C700" s="72"/>
      <c r="D700" s="54">
        <v>691</v>
      </c>
      <c r="E700" s="70">
        <v>44493.59</v>
      </c>
      <c r="F700" s="75">
        <v>9351</v>
      </c>
      <c r="G700" s="75">
        <v>84665</v>
      </c>
      <c r="H700" s="194">
        <v>329056</v>
      </c>
      <c r="I700" s="194">
        <v>12341.76</v>
      </c>
      <c r="J700" s="75">
        <v>81753.173721494197</v>
      </c>
      <c r="K700" s="73"/>
      <c r="M700" s="72"/>
      <c r="N700" s="54">
        <v>691</v>
      </c>
      <c r="O700" s="70">
        <v>91513.9</v>
      </c>
      <c r="P700" s="75">
        <v>12800</v>
      </c>
      <c r="Q700" s="75">
        <v>93479</v>
      </c>
      <c r="R700" s="194">
        <v>370408.5</v>
      </c>
      <c r="S700" s="194">
        <v>6673.95</v>
      </c>
      <c r="T700" s="70">
        <v>1568.0000000000007</v>
      </c>
      <c r="U700" s="80">
        <v>81753.173721494197</v>
      </c>
      <c r="V700" s="73"/>
      <c r="X700" s="30"/>
      <c r="Y700" s="54">
        <v>691</v>
      </c>
      <c r="Z700" s="70">
        <v>60325.449999999975</v>
      </c>
      <c r="AA700" s="75">
        <v>9709</v>
      </c>
      <c r="AB700" s="75">
        <v>5303.7</v>
      </c>
      <c r="AC700" s="75">
        <v>83091.3</v>
      </c>
      <c r="AD700" s="194">
        <v>339965.85</v>
      </c>
      <c r="AE700" s="194">
        <v>7419.75</v>
      </c>
      <c r="AF700" s="76">
        <v>0.06</v>
      </c>
      <c r="AG700" s="70">
        <v>3398.150000000001</v>
      </c>
      <c r="AH700" s="31"/>
    </row>
    <row r="701" spans="3:34" x14ac:dyDescent="0.25">
      <c r="C701" s="72"/>
      <c r="D701" s="54">
        <v>692</v>
      </c>
      <c r="E701" s="70">
        <v>58351.91</v>
      </c>
      <c r="F701" s="75">
        <v>8709</v>
      </c>
      <c r="G701" s="75">
        <v>89395</v>
      </c>
      <c r="H701" s="194">
        <v>343364</v>
      </c>
      <c r="I701" s="194">
        <v>12791.44</v>
      </c>
      <c r="J701" s="75">
        <v>81753.173721494197</v>
      </c>
      <c r="K701" s="73"/>
      <c r="M701" s="72"/>
      <c r="N701" s="54">
        <v>692</v>
      </c>
      <c r="O701" s="70">
        <v>35257.955000000031</v>
      </c>
      <c r="P701" s="75">
        <v>10662</v>
      </c>
      <c r="Q701" s="75">
        <v>79266</v>
      </c>
      <c r="R701" s="194">
        <v>313441.90500000003</v>
      </c>
      <c r="S701" s="194">
        <v>5963.3</v>
      </c>
      <c r="T701" s="70">
        <v>1306.0950000000005</v>
      </c>
      <c r="U701" s="80">
        <v>81753.173721494197</v>
      </c>
      <c r="V701" s="73"/>
      <c r="X701" s="30"/>
      <c r="Y701" s="54">
        <v>692</v>
      </c>
      <c r="Z701" s="70">
        <v>59973.549999999988</v>
      </c>
      <c r="AA701" s="75">
        <v>10882</v>
      </c>
      <c r="AB701" s="75">
        <v>7849.98</v>
      </c>
      <c r="AC701" s="75">
        <v>79372.02</v>
      </c>
      <c r="AD701" s="194">
        <v>339555.3</v>
      </c>
      <c r="AE701" s="194">
        <v>7361.1</v>
      </c>
      <c r="AF701" s="76">
        <v>0.09</v>
      </c>
      <c r="AG701" s="70">
        <v>3808.7000000000012</v>
      </c>
      <c r="AH701" s="31"/>
    </row>
    <row r="702" spans="3:34" x14ac:dyDescent="0.25">
      <c r="C702" s="72"/>
      <c r="D702" s="54">
        <v>693</v>
      </c>
      <c r="E702" s="70">
        <v>58351.91</v>
      </c>
      <c r="F702" s="75">
        <v>6973</v>
      </c>
      <c r="G702" s="75">
        <v>91131</v>
      </c>
      <c r="H702" s="194">
        <v>343364</v>
      </c>
      <c r="I702" s="194">
        <v>12791.44</v>
      </c>
      <c r="J702" s="75">
        <v>81753.173721494197</v>
      </c>
      <c r="K702" s="73"/>
      <c r="M702" s="72"/>
      <c r="N702" s="54">
        <v>693</v>
      </c>
      <c r="O702" s="70">
        <v>49460.589999999989</v>
      </c>
      <c r="P702" s="75">
        <v>9296</v>
      </c>
      <c r="Q702" s="75">
        <v>84720</v>
      </c>
      <c r="R702" s="194">
        <v>327917.24</v>
      </c>
      <c r="S702" s="194">
        <v>6236</v>
      </c>
      <c r="T702" s="70">
        <v>1138.7600000000004</v>
      </c>
      <c r="U702" s="80">
        <v>81753.173721494197</v>
      </c>
      <c r="V702" s="73"/>
      <c r="X702" s="30"/>
      <c r="Y702" s="54">
        <v>693</v>
      </c>
      <c r="Z702" s="70">
        <v>58727.049999999988</v>
      </c>
      <c r="AA702" s="75">
        <v>15037</v>
      </c>
      <c r="AB702" s="75">
        <v>7476.03</v>
      </c>
      <c r="AC702" s="75">
        <v>75590.97</v>
      </c>
      <c r="AD702" s="194">
        <v>338101.05</v>
      </c>
      <c r="AE702" s="194">
        <v>7153.35</v>
      </c>
      <c r="AF702" s="76">
        <v>0.09</v>
      </c>
      <c r="AG702" s="70">
        <v>5262.9500000000016</v>
      </c>
      <c r="AH702" s="31"/>
    </row>
    <row r="703" spans="3:34" x14ac:dyDescent="0.25">
      <c r="C703" s="72"/>
      <c r="D703" s="54">
        <v>694</v>
      </c>
      <c r="E703" s="70">
        <v>30635.27</v>
      </c>
      <c r="F703" s="75">
        <v>6117</v>
      </c>
      <c r="G703" s="75">
        <v>83811</v>
      </c>
      <c r="H703" s="194">
        <v>314748</v>
      </c>
      <c r="I703" s="194">
        <v>11892.08</v>
      </c>
      <c r="J703" s="75">
        <v>81753.173721494197</v>
      </c>
      <c r="K703" s="73"/>
      <c r="M703" s="72"/>
      <c r="N703" s="54">
        <v>694</v>
      </c>
      <c r="O703" s="70">
        <v>35376.202500000014</v>
      </c>
      <c r="P703" s="75">
        <v>9031</v>
      </c>
      <c r="Q703" s="75">
        <v>80897</v>
      </c>
      <c r="R703" s="194">
        <v>313641.70250000001</v>
      </c>
      <c r="S703" s="194">
        <v>6044.85</v>
      </c>
      <c r="T703" s="70">
        <v>1106.2975000000006</v>
      </c>
      <c r="U703" s="80">
        <v>81753.173721494197</v>
      </c>
      <c r="V703" s="73"/>
      <c r="X703" s="30"/>
      <c r="Y703" s="54">
        <v>694</v>
      </c>
      <c r="Z703" s="70">
        <v>44912.349999999977</v>
      </c>
      <c r="AA703" s="75">
        <v>14074</v>
      </c>
      <c r="AB703" s="75">
        <v>4796.5199999999995</v>
      </c>
      <c r="AC703" s="75">
        <v>75145.48</v>
      </c>
      <c r="AD703" s="194">
        <v>324130.09999999998</v>
      </c>
      <c r="AE703" s="194">
        <v>6997.1</v>
      </c>
      <c r="AF703" s="76">
        <v>0.06</v>
      </c>
      <c r="AG703" s="70">
        <v>4925.9000000000015</v>
      </c>
      <c r="AH703" s="31"/>
    </row>
    <row r="704" spans="3:34" x14ac:dyDescent="0.25">
      <c r="C704" s="72"/>
      <c r="D704" s="54">
        <v>695</v>
      </c>
      <c r="E704" s="70">
        <v>58351.91</v>
      </c>
      <c r="F704" s="75">
        <v>5948</v>
      </c>
      <c r="G704" s="75">
        <v>92156</v>
      </c>
      <c r="H704" s="194">
        <v>343364</v>
      </c>
      <c r="I704" s="194">
        <v>12791.44</v>
      </c>
      <c r="J704" s="75">
        <v>81753.173721494197</v>
      </c>
      <c r="K704" s="73"/>
      <c r="M704" s="72"/>
      <c r="N704" s="54">
        <v>695</v>
      </c>
      <c r="O704" s="70">
        <v>91669.702499999999</v>
      </c>
      <c r="P704" s="75">
        <v>10651</v>
      </c>
      <c r="Q704" s="75">
        <v>95628</v>
      </c>
      <c r="R704" s="194">
        <v>370671.7525</v>
      </c>
      <c r="S704" s="194">
        <v>6781.4000000000005</v>
      </c>
      <c r="T704" s="70">
        <v>1304.7475000000006</v>
      </c>
      <c r="U704" s="80">
        <v>81753.173721494197</v>
      </c>
      <c r="V704" s="73"/>
      <c r="X704" s="30"/>
      <c r="Y704" s="54">
        <v>695</v>
      </c>
      <c r="Z704" s="70">
        <v>31546.45</v>
      </c>
      <c r="AA704" s="75">
        <v>11615</v>
      </c>
      <c r="AB704" s="75">
        <v>6265.04</v>
      </c>
      <c r="AC704" s="75">
        <v>72047.960000000006</v>
      </c>
      <c r="AD704" s="194">
        <v>310682.75</v>
      </c>
      <c r="AE704" s="194">
        <v>6915.65</v>
      </c>
      <c r="AF704" s="76">
        <v>0.08</v>
      </c>
      <c r="AG704" s="70">
        <v>4065.2500000000009</v>
      </c>
      <c r="AH704" s="31"/>
    </row>
    <row r="705" spans="3:34" x14ac:dyDescent="0.25">
      <c r="C705" s="72"/>
      <c r="D705" s="54">
        <v>696</v>
      </c>
      <c r="E705" s="70">
        <v>30635.27</v>
      </c>
      <c r="F705" s="75">
        <v>8080</v>
      </c>
      <c r="G705" s="75">
        <v>81848</v>
      </c>
      <c r="H705" s="194">
        <v>314748</v>
      </c>
      <c r="I705" s="194">
        <v>11892.08</v>
      </c>
      <c r="J705" s="75">
        <v>81753.173721494197</v>
      </c>
      <c r="K705" s="73"/>
      <c r="M705" s="72"/>
      <c r="N705" s="54">
        <v>696</v>
      </c>
      <c r="O705" s="70">
        <v>63314.064999999988</v>
      </c>
      <c r="P705" s="75">
        <v>12746</v>
      </c>
      <c r="Q705" s="75">
        <v>85358</v>
      </c>
      <c r="R705" s="194">
        <v>341802.61499999999</v>
      </c>
      <c r="S705" s="194">
        <v>6267.9000000000005</v>
      </c>
      <c r="T705" s="70">
        <v>1561.3850000000007</v>
      </c>
      <c r="U705" s="80">
        <v>81753.173721494197</v>
      </c>
      <c r="V705" s="73"/>
      <c r="X705" s="30"/>
      <c r="Y705" s="54">
        <v>696</v>
      </c>
      <c r="Z705" s="70">
        <v>45176.650000000009</v>
      </c>
      <c r="AA705" s="75">
        <v>13193</v>
      </c>
      <c r="AB705" s="75">
        <v>4041.15</v>
      </c>
      <c r="AC705" s="75">
        <v>76781.850000000006</v>
      </c>
      <c r="AD705" s="194">
        <v>324438.45</v>
      </c>
      <c r="AE705" s="194">
        <v>7041.15</v>
      </c>
      <c r="AF705" s="76">
        <v>0.05</v>
      </c>
      <c r="AG705" s="70">
        <v>4617.5500000000011</v>
      </c>
      <c r="AH705" s="31"/>
    </row>
    <row r="706" spans="3:34" x14ac:dyDescent="0.25">
      <c r="C706" s="72"/>
      <c r="D706" s="54">
        <v>697</v>
      </c>
      <c r="E706" s="70">
        <v>58351.91</v>
      </c>
      <c r="F706" s="75">
        <v>7930</v>
      </c>
      <c r="G706" s="75">
        <v>90174</v>
      </c>
      <c r="H706" s="194">
        <v>343364</v>
      </c>
      <c r="I706" s="194">
        <v>12791.44</v>
      </c>
      <c r="J706" s="75">
        <v>81753.173721494197</v>
      </c>
      <c r="K706" s="73"/>
      <c r="M706" s="72"/>
      <c r="N706" s="54">
        <v>697</v>
      </c>
      <c r="O706" s="70">
        <v>35114.477499999979</v>
      </c>
      <c r="P706" s="75">
        <v>12641</v>
      </c>
      <c r="Q706" s="75">
        <v>77287</v>
      </c>
      <c r="R706" s="194">
        <v>313199.47749999998</v>
      </c>
      <c r="S706" s="194">
        <v>5864.35</v>
      </c>
      <c r="T706" s="70">
        <v>1548.5225000000007</v>
      </c>
      <c r="U706" s="80">
        <v>81753.173721494197</v>
      </c>
      <c r="V706" s="73"/>
      <c r="X706" s="30"/>
      <c r="Y706" s="54">
        <v>697</v>
      </c>
      <c r="Z706" s="70">
        <v>31533.249999999978</v>
      </c>
      <c r="AA706" s="75">
        <v>11659</v>
      </c>
      <c r="AB706" s="75">
        <v>4696.1399999999994</v>
      </c>
      <c r="AC706" s="75">
        <v>73572.86</v>
      </c>
      <c r="AD706" s="194">
        <v>310667.34999999998</v>
      </c>
      <c r="AE706" s="194">
        <v>6913.4500000000007</v>
      </c>
      <c r="AF706" s="76">
        <v>0.06</v>
      </c>
      <c r="AG706" s="70">
        <v>4080.650000000001</v>
      </c>
      <c r="AH706" s="31"/>
    </row>
    <row r="707" spans="3:34" x14ac:dyDescent="0.25">
      <c r="C707" s="72"/>
      <c r="D707" s="54">
        <v>698</v>
      </c>
      <c r="E707" s="70">
        <v>30635.27</v>
      </c>
      <c r="F707" s="75">
        <v>5315</v>
      </c>
      <c r="G707" s="75">
        <v>84613</v>
      </c>
      <c r="H707" s="194">
        <v>314748</v>
      </c>
      <c r="I707" s="194">
        <v>11892.08</v>
      </c>
      <c r="J707" s="75">
        <v>81753.173721494197</v>
      </c>
      <c r="K707" s="73"/>
      <c r="M707" s="72"/>
      <c r="N707" s="54">
        <v>698</v>
      </c>
      <c r="O707" s="70">
        <v>35180.089999999967</v>
      </c>
      <c r="P707" s="75">
        <v>11736</v>
      </c>
      <c r="Q707" s="75">
        <v>78192</v>
      </c>
      <c r="R707" s="194">
        <v>313310.33999999997</v>
      </c>
      <c r="S707" s="194">
        <v>5909.6</v>
      </c>
      <c r="T707" s="70">
        <v>1437.6600000000005</v>
      </c>
      <c r="U707" s="80">
        <v>81753.173721494197</v>
      </c>
      <c r="V707" s="73"/>
      <c r="X707" s="30"/>
      <c r="Y707" s="54">
        <v>698</v>
      </c>
      <c r="Z707" s="70">
        <v>45757.150000000009</v>
      </c>
      <c r="AA707" s="75">
        <v>11258</v>
      </c>
      <c r="AB707" s="75">
        <v>8275.8000000000011</v>
      </c>
      <c r="AC707" s="75">
        <v>74482.2</v>
      </c>
      <c r="AD707" s="194">
        <v>325115.7</v>
      </c>
      <c r="AE707" s="194">
        <v>7137.9000000000005</v>
      </c>
      <c r="AF707" s="76">
        <v>0.1</v>
      </c>
      <c r="AG707" s="70">
        <v>3940.3000000000011</v>
      </c>
      <c r="AH707" s="31"/>
    </row>
    <row r="708" spans="3:34" x14ac:dyDescent="0.25">
      <c r="C708" s="72"/>
      <c r="D708" s="54">
        <v>699</v>
      </c>
      <c r="E708" s="70">
        <v>30635.27</v>
      </c>
      <c r="F708" s="75">
        <v>8018</v>
      </c>
      <c r="G708" s="75">
        <v>81910</v>
      </c>
      <c r="H708" s="194">
        <v>314748</v>
      </c>
      <c r="I708" s="194">
        <v>11892.08</v>
      </c>
      <c r="J708" s="75">
        <v>81753.173721494197</v>
      </c>
      <c r="K708" s="73"/>
      <c r="M708" s="72"/>
      <c r="N708" s="54">
        <v>699</v>
      </c>
      <c r="O708" s="70">
        <v>63528.882500000022</v>
      </c>
      <c r="P708" s="75">
        <v>9783</v>
      </c>
      <c r="Q708" s="75">
        <v>88321</v>
      </c>
      <c r="R708" s="194">
        <v>342165.58250000002</v>
      </c>
      <c r="S708" s="194">
        <v>6416.05</v>
      </c>
      <c r="T708" s="70">
        <v>1198.4175000000005</v>
      </c>
      <c r="U708" s="80">
        <v>81753.173721494197</v>
      </c>
      <c r="V708" s="73"/>
      <c r="X708" s="30"/>
      <c r="Y708" s="54">
        <v>699</v>
      </c>
      <c r="Z708" s="70">
        <v>31308.249999999978</v>
      </c>
      <c r="AA708" s="75">
        <v>12409</v>
      </c>
      <c r="AB708" s="75">
        <v>5426.3300000000008</v>
      </c>
      <c r="AC708" s="75">
        <v>72092.67</v>
      </c>
      <c r="AD708" s="194">
        <v>310404.84999999998</v>
      </c>
      <c r="AE708" s="194">
        <v>6875.9500000000007</v>
      </c>
      <c r="AF708" s="76">
        <v>7.0000000000000007E-2</v>
      </c>
      <c r="AG708" s="70">
        <v>4343.1500000000015</v>
      </c>
      <c r="AH708" s="31"/>
    </row>
    <row r="709" spans="3:34" x14ac:dyDescent="0.25">
      <c r="C709" s="72"/>
      <c r="D709" s="54">
        <v>700</v>
      </c>
      <c r="E709" s="70">
        <v>44493.59</v>
      </c>
      <c r="F709" s="75">
        <v>4773</v>
      </c>
      <c r="G709" s="75">
        <v>89243</v>
      </c>
      <c r="H709" s="194">
        <v>329056</v>
      </c>
      <c r="I709" s="194">
        <v>12341.76</v>
      </c>
      <c r="J709" s="75">
        <v>81753.173721494197</v>
      </c>
      <c r="K709" s="73"/>
      <c r="M709" s="72"/>
      <c r="N709" s="54">
        <v>700</v>
      </c>
      <c r="O709" s="70">
        <v>63515.469999999987</v>
      </c>
      <c r="P709" s="75">
        <v>9968</v>
      </c>
      <c r="Q709" s="75">
        <v>88136</v>
      </c>
      <c r="R709" s="194">
        <v>342142.92</v>
      </c>
      <c r="S709" s="194">
        <v>6406.8</v>
      </c>
      <c r="T709" s="70">
        <v>1221.0800000000006</v>
      </c>
      <c r="U709" s="80">
        <v>81753.173721494197</v>
      </c>
      <c r="V709" s="73"/>
      <c r="X709" s="30"/>
      <c r="Y709" s="54">
        <v>700</v>
      </c>
      <c r="Z709" s="70">
        <v>31529.349999999988</v>
      </c>
      <c r="AA709" s="75">
        <v>11672</v>
      </c>
      <c r="AB709" s="75">
        <v>7825.6</v>
      </c>
      <c r="AC709" s="75">
        <v>70430.399999999994</v>
      </c>
      <c r="AD709" s="194">
        <v>310662.8</v>
      </c>
      <c r="AE709" s="194">
        <v>6912.8</v>
      </c>
      <c r="AF709" s="76">
        <v>0.1</v>
      </c>
      <c r="AG709" s="70">
        <v>4085.2000000000012</v>
      </c>
      <c r="AH709" s="31"/>
    </row>
    <row r="710" spans="3:34" x14ac:dyDescent="0.25">
      <c r="C710" s="72"/>
      <c r="D710" s="54">
        <v>701</v>
      </c>
      <c r="E710" s="70">
        <v>30635.27</v>
      </c>
      <c r="F710" s="75">
        <v>8972</v>
      </c>
      <c r="G710" s="75">
        <v>80956</v>
      </c>
      <c r="H710" s="194">
        <v>314748</v>
      </c>
      <c r="I710" s="194">
        <v>11892.08</v>
      </c>
      <c r="J710" s="75">
        <v>81753.173721494197</v>
      </c>
      <c r="K710" s="73"/>
      <c r="M710" s="72"/>
      <c r="N710" s="54">
        <v>701</v>
      </c>
      <c r="O710" s="70">
        <v>49321.970000000016</v>
      </c>
      <c r="P710" s="75">
        <v>11208</v>
      </c>
      <c r="Q710" s="75">
        <v>82808</v>
      </c>
      <c r="R710" s="194">
        <v>327683.02</v>
      </c>
      <c r="S710" s="194">
        <v>6140.4000000000005</v>
      </c>
      <c r="T710" s="70">
        <v>1372.9800000000007</v>
      </c>
      <c r="U710" s="80">
        <v>81753.173721494197</v>
      </c>
      <c r="V710" s="73"/>
      <c r="X710" s="30"/>
      <c r="Y710" s="54">
        <v>701</v>
      </c>
      <c r="Z710" s="70">
        <v>46300.44999999999</v>
      </c>
      <c r="AA710" s="75">
        <v>9447</v>
      </c>
      <c r="AB710" s="75">
        <v>4228.45</v>
      </c>
      <c r="AC710" s="75">
        <v>80340.55</v>
      </c>
      <c r="AD710" s="194">
        <v>325749.55</v>
      </c>
      <c r="AE710" s="194">
        <v>7228.45</v>
      </c>
      <c r="AF710" s="76">
        <v>0.05</v>
      </c>
      <c r="AG710" s="70">
        <v>3306.4500000000007</v>
      </c>
      <c r="AH710" s="31"/>
    </row>
    <row r="711" spans="3:34" x14ac:dyDescent="0.25">
      <c r="C711" s="72"/>
      <c r="D711" s="54">
        <v>702</v>
      </c>
      <c r="E711" s="70">
        <v>30635.27</v>
      </c>
      <c r="F711" s="75">
        <v>7994</v>
      </c>
      <c r="G711" s="75">
        <v>81934</v>
      </c>
      <c r="H711" s="194">
        <v>314748</v>
      </c>
      <c r="I711" s="194">
        <v>11892.08</v>
      </c>
      <c r="J711" s="75">
        <v>81753.173721494197</v>
      </c>
      <c r="K711" s="73"/>
      <c r="M711" s="72"/>
      <c r="N711" s="54">
        <v>702</v>
      </c>
      <c r="O711" s="70">
        <v>35054.157499999994</v>
      </c>
      <c r="P711" s="75">
        <v>13473</v>
      </c>
      <c r="Q711" s="75">
        <v>76455</v>
      </c>
      <c r="R711" s="194">
        <v>313097.5575</v>
      </c>
      <c r="S711" s="194">
        <v>5822.75</v>
      </c>
      <c r="T711" s="70">
        <v>1650.4425000000008</v>
      </c>
      <c r="U711" s="80">
        <v>81753.173721494197</v>
      </c>
      <c r="V711" s="73"/>
      <c r="X711" s="30"/>
      <c r="Y711" s="54">
        <v>702</v>
      </c>
      <c r="Z711" s="70">
        <v>44913.250000000022</v>
      </c>
      <c r="AA711" s="75">
        <v>14071</v>
      </c>
      <c r="AB711" s="75">
        <v>7195.05</v>
      </c>
      <c r="AC711" s="75">
        <v>72749.95</v>
      </c>
      <c r="AD711" s="194">
        <v>324131.15000000002</v>
      </c>
      <c r="AE711" s="194">
        <v>6997.25</v>
      </c>
      <c r="AF711" s="76">
        <v>0.09</v>
      </c>
      <c r="AG711" s="70">
        <v>4924.8500000000013</v>
      </c>
      <c r="AH711" s="31"/>
    </row>
    <row r="712" spans="3:34" x14ac:dyDescent="0.25">
      <c r="C712" s="72"/>
      <c r="D712" s="54">
        <v>703</v>
      </c>
      <c r="E712" s="70">
        <v>44493.59</v>
      </c>
      <c r="F712" s="75">
        <v>5588</v>
      </c>
      <c r="G712" s="75">
        <v>88428</v>
      </c>
      <c r="H712" s="194">
        <v>329056</v>
      </c>
      <c r="I712" s="194">
        <v>12341.76</v>
      </c>
      <c r="J712" s="75">
        <v>81753.173721494197</v>
      </c>
      <c r="K712" s="73"/>
      <c r="M712" s="72"/>
      <c r="N712" s="54">
        <v>703</v>
      </c>
      <c r="O712" s="70">
        <v>35371.127500000002</v>
      </c>
      <c r="P712" s="75">
        <v>9101</v>
      </c>
      <c r="Q712" s="75">
        <v>80827</v>
      </c>
      <c r="R712" s="194">
        <v>313633.1275</v>
      </c>
      <c r="S712" s="194">
        <v>6041.35</v>
      </c>
      <c r="T712" s="70">
        <v>1114.8725000000004</v>
      </c>
      <c r="U712" s="80">
        <v>81753.173721494197</v>
      </c>
      <c r="V712" s="73"/>
      <c r="X712" s="30"/>
      <c r="Y712" s="54">
        <v>703</v>
      </c>
      <c r="Z712" s="70">
        <v>87595.299999999988</v>
      </c>
      <c r="AA712" s="75">
        <v>12822</v>
      </c>
      <c r="AB712" s="75">
        <v>4672.8500000000004</v>
      </c>
      <c r="AC712" s="75">
        <v>88784.15</v>
      </c>
      <c r="AD712" s="194">
        <v>367488.8</v>
      </c>
      <c r="AE712" s="194">
        <v>7672.85</v>
      </c>
      <c r="AF712" s="76">
        <v>0.05</v>
      </c>
      <c r="AG712" s="70">
        <v>4487.7000000000007</v>
      </c>
      <c r="AH712" s="31"/>
    </row>
    <row r="713" spans="3:34" x14ac:dyDescent="0.25">
      <c r="C713" s="72"/>
      <c r="D713" s="54">
        <v>704</v>
      </c>
      <c r="E713" s="70">
        <v>86065.16</v>
      </c>
      <c r="F713" s="75">
        <v>6328</v>
      </c>
      <c r="G713" s="75">
        <v>99951</v>
      </c>
      <c r="H713" s="194">
        <v>371976.5</v>
      </c>
      <c r="I713" s="194">
        <v>13690.69</v>
      </c>
      <c r="J713" s="75">
        <v>81753.173721494197</v>
      </c>
      <c r="K713" s="73"/>
      <c r="M713" s="72"/>
      <c r="N713" s="54">
        <v>704</v>
      </c>
      <c r="O713" s="70">
        <v>63377.57499999999</v>
      </c>
      <c r="P713" s="75">
        <v>11870</v>
      </c>
      <c r="Q713" s="75">
        <v>86234</v>
      </c>
      <c r="R713" s="194">
        <v>341909.92499999999</v>
      </c>
      <c r="S713" s="194">
        <v>6311.7</v>
      </c>
      <c r="T713" s="70">
        <v>1454.0750000000007</v>
      </c>
      <c r="U713" s="80">
        <v>81753.173721494197</v>
      </c>
      <c r="V713" s="73"/>
      <c r="X713" s="30"/>
      <c r="Y713" s="54">
        <v>704</v>
      </c>
      <c r="Z713" s="70">
        <v>45160.44999999999</v>
      </c>
      <c r="AA713" s="75">
        <v>13247</v>
      </c>
      <c r="AB713" s="75">
        <v>4846.1399999999994</v>
      </c>
      <c r="AC713" s="75">
        <v>75922.86</v>
      </c>
      <c r="AD713" s="194">
        <v>324419.55</v>
      </c>
      <c r="AE713" s="194">
        <v>7038.4500000000007</v>
      </c>
      <c r="AF713" s="76">
        <v>0.06</v>
      </c>
      <c r="AG713" s="70">
        <v>4636.4500000000007</v>
      </c>
      <c r="AH713" s="31"/>
    </row>
    <row r="714" spans="3:34" x14ac:dyDescent="0.25">
      <c r="C714" s="72"/>
      <c r="D714" s="54">
        <v>705</v>
      </c>
      <c r="E714" s="70">
        <v>58351.91</v>
      </c>
      <c r="F714" s="75">
        <v>6895</v>
      </c>
      <c r="G714" s="75">
        <v>91209</v>
      </c>
      <c r="H714" s="194">
        <v>343364</v>
      </c>
      <c r="I714" s="194">
        <v>12791.44</v>
      </c>
      <c r="J714" s="75">
        <v>81753.173721494197</v>
      </c>
      <c r="K714" s="73"/>
      <c r="M714" s="72"/>
      <c r="N714" s="54">
        <v>705</v>
      </c>
      <c r="O714" s="70">
        <v>63523.80750000001</v>
      </c>
      <c r="P714" s="75">
        <v>9853</v>
      </c>
      <c r="Q714" s="75">
        <v>88251</v>
      </c>
      <c r="R714" s="194">
        <v>342157.00750000001</v>
      </c>
      <c r="S714" s="194">
        <v>6412.55</v>
      </c>
      <c r="T714" s="70">
        <v>1206.9925000000005</v>
      </c>
      <c r="U714" s="80">
        <v>81753.173721494197</v>
      </c>
      <c r="V714" s="73"/>
      <c r="X714" s="30"/>
      <c r="Y714" s="54">
        <v>705</v>
      </c>
      <c r="Z714" s="70">
        <v>31316.05000000001</v>
      </c>
      <c r="AA714" s="75">
        <v>12383</v>
      </c>
      <c r="AB714" s="75">
        <v>3877.25</v>
      </c>
      <c r="AC714" s="75">
        <v>73667.75</v>
      </c>
      <c r="AD714" s="194">
        <v>310413.95</v>
      </c>
      <c r="AE714" s="194">
        <v>6877.25</v>
      </c>
      <c r="AF714" s="76">
        <v>0.05</v>
      </c>
      <c r="AG714" s="70">
        <v>4334.0500000000011</v>
      </c>
      <c r="AH714" s="31"/>
    </row>
    <row r="715" spans="3:34" x14ac:dyDescent="0.25">
      <c r="C715" s="72"/>
      <c r="D715" s="54">
        <v>706</v>
      </c>
      <c r="E715" s="70">
        <v>58351.91</v>
      </c>
      <c r="F715" s="75">
        <v>6881</v>
      </c>
      <c r="G715" s="75">
        <v>91223</v>
      </c>
      <c r="H715" s="194">
        <v>343364</v>
      </c>
      <c r="I715" s="194">
        <v>12791.44</v>
      </c>
      <c r="J715" s="75">
        <v>81753.173721494197</v>
      </c>
      <c r="K715" s="73"/>
      <c r="M715" s="72"/>
      <c r="N715" s="54">
        <v>706</v>
      </c>
      <c r="O715" s="70">
        <v>63466.967500000028</v>
      </c>
      <c r="P715" s="75">
        <v>10637</v>
      </c>
      <c r="Q715" s="75">
        <v>87467</v>
      </c>
      <c r="R715" s="194">
        <v>342060.96750000003</v>
      </c>
      <c r="S715" s="194">
        <v>6373.35</v>
      </c>
      <c r="T715" s="70">
        <v>1303.0325000000005</v>
      </c>
      <c r="U715" s="80">
        <v>81753.173721494197</v>
      </c>
      <c r="V715" s="73"/>
      <c r="X715" s="30"/>
      <c r="Y715" s="54">
        <v>706</v>
      </c>
      <c r="Z715" s="70">
        <v>46353.55</v>
      </c>
      <c r="AA715" s="75">
        <v>9270</v>
      </c>
      <c r="AB715" s="75">
        <v>5084.76</v>
      </c>
      <c r="AC715" s="75">
        <v>79661.240000000005</v>
      </c>
      <c r="AD715" s="194">
        <v>325811.5</v>
      </c>
      <c r="AE715" s="194">
        <v>7237.3</v>
      </c>
      <c r="AF715" s="76">
        <v>0.06</v>
      </c>
      <c r="AG715" s="70">
        <v>3244.5000000000009</v>
      </c>
      <c r="AH715" s="31"/>
    </row>
    <row r="716" spans="3:34" x14ac:dyDescent="0.25">
      <c r="C716" s="72"/>
      <c r="D716" s="54">
        <v>707</v>
      </c>
      <c r="E716" s="70">
        <v>44493.59</v>
      </c>
      <c r="F716" s="75">
        <v>4623</v>
      </c>
      <c r="G716" s="75">
        <v>89393</v>
      </c>
      <c r="H716" s="194">
        <v>329056</v>
      </c>
      <c r="I716" s="194">
        <v>12341.76</v>
      </c>
      <c r="J716" s="75">
        <v>81753.173721494197</v>
      </c>
      <c r="K716" s="73"/>
      <c r="M716" s="72"/>
      <c r="N716" s="54">
        <v>707</v>
      </c>
      <c r="O716" s="70">
        <v>35321.827500000014</v>
      </c>
      <c r="P716" s="75">
        <v>9781</v>
      </c>
      <c r="Q716" s="75">
        <v>80147</v>
      </c>
      <c r="R716" s="194">
        <v>313549.82750000001</v>
      </c>
      <c r="S716" s="194">
        <v>6007.35</v>
      </c>
      <c r="T716" s="70">
        <v>1198.1725000000006</v>
      </c>
      <c r="U716" s="80">
        <v>81753.173721494197</v>
      </c>
      <c r="V716" s="73"/>
      <c r="X716" s="30"/>
      <c r="Y716" s="54">
        <v>707</v>
      </c>
      <c r="Z716" s="70">
        <v>59348.65</v>
      </c>
      <c r="AA716" s="75">
        <v>12965</v>
      </c>
      <c r="AB716" s="75">
        <v>8513.9</v>
      </c>
      <c r="AC716" s="75">
        <v>76625.100000000006</v>
      </c>
      <c r="AD716" s="194">
        <v>338826.25</v>
      </c>
      <c r="AE716" s="194">
        <v>7256.95</v>
      </c>
      <c r="AF716" s="76">
        <v>0.1</v>
      </c>
      <c r="AG716" s="70">
        <v>4537.7500000000009</v>
      </c>
      <c r="AH716" s="31"/>
    </row>
    <row r="717" spans="3:34" x14ac:dyDescent="0.25">
      <c r="C717" s="72"/>
      <c r="D717" s="54">
        <v>708</v>
      </c>
      <c r="E717" s="70">
        <v>30635.27</v>
      </c>
      <c r="F717" s="75">
        <v>8176</v>
      </c>
      <c r="G717" s="75">
        <v>81752</v>
      </c>
      <c r="H717" s="194">
        <v>314748</v>
      </c>
      <c r="I717" s="194">
        <v>11892.08</v>
      </c>
      <c r="J717" s="75">
        <v>81753.173721494197</v>
      </c>
      <c r="K717" s="73"/>
      <c r="M717" s="72"/>
      <c r="N717" s="54">
        <v>708</v>
      </c>
      <c r="O717" s="70">
        <v>35182.917499999996</v>
      </c>
      <c r="P717" s="75">
        <v>11697</v>
      </c>
      <c r="Q717" s="75">
        <v>78231</v>
      </c>
      <c r="R717" s="194">
        <v>313315.11749999999</v>
      </c>
      <c r="S717" s="194">
        <v>5911.55</v>
      </c>
      <c r="T717" s="70">
        <v>1432.8825000000006</v>
      </c>
      <c r="U717" s="80">
        <v>81753.173721494197</v>
      </c>
      <c r="V717" s="73"/>
      <c r="X717" s="30"/>
      <c r="Y717" s="54">
        <v>708</v>
      </c>
      <c r="Z717" s="70">
        <v>60289.15</v>
      </c>
      <c r="AA717" s="75">
        <v>9830</v>
      </c>
      <c r="AB717" s="75">
        <v>6179.18</v>
      </c>
      <c r="AC717" s="75">
        <v>82094.820000000007</v>
      </c>
      <c r="AD717" s="194">
        <v>339923.5</v>
      </c>
      <c r="AE717" s="194">
        <v>7413.7</v>
      </c>
      <c r="AF717" s="76">
        <v>7.0000000000000007E-2</v>
      </c>
      <c r="AG717" s="70">
        <v>3440.5000000000009</v>
      </c>
      <c r="AH717" s="31"/>
    </row>
    <row r="718" spans="3:34" x14ac:dyDescent="0.25">
      <c r="C718" s="72"/>
      <c r="D718" s="54">
        <v>709</v>
      </c>
      <c r="E718" s="70">
        <v>30635.27</v>
      </c>
      <c r="F718" s="75">
        <v>4556</v>
      </c>
      <c r="G718" s="75">
        <v>85372</v>
      </c>
      <c r="H718" s="194">
        <v>314748</v>
      </c>
      <c r="I718" s="194">
        <v>11892.08</v>
      </c>
      <c r="J718" s="75">
        <v>81753.173721494197</v>
      </c>
      <c r="K718" s="73"/>
      <c r="M718" s="72"/>
      <c r="N718" s="54">
        <v>709</v>
      </c>
      <c r="O718" s="70">
        <v>49380.042500000018</v>
      </c>
      <c r="P718" s="75">
        <v>10407</v>
      </c>
      <c r="Q718" s="75">
        <v>83609</v>
      </c>
      <c r="R718" s="194">
        <v>327781.14250000002</v>
      </c>
      <c r="S718" s="194">
        <v>6180.45</v>
      </c>
      <c r="T718" s="70">
        <v>1274.8575000000005</v>
      </c>
      <c r="U718" s="80">
        <v>81753.173721494197</v>
      </c>
      <c r="V718" s="73"/>
      <c r="X718" s="30"/>
      <c r="Y718" s="54">
        <v>709</v>
      </c>
      <c r="Z718" s="70">
        <v>45757.150000000009</v>
      </c>
      <c r="AA718" s="75">
        <v>11258</v>
      </c>
      <c r="AB718" s="75">
        <v>8275.8000000000011</v>
      </c>
      <c r="AC718" s="75">
        <v>74482.2</v>
      </c>
      <c r="AD718" s="194">
        <v>325115.7</v>
      </c>
      <c r="AE718" s="194">
        <v>7137.9000000000005</v>
      </c>
      <c r="AF718" s="76">
        <v>0.1</v>
      </c>
      <c r="AG718" s="70">
        <v>3940.3000000000011</v>
      </c>
      <c r="AH718" s="31"/>
    </row>
    <row r="719" spans="3:34" x14ac:dyDescent="0.25">
      <c r="C719" s="72"/>
      <c r="D719" s="54">
        <v>710</v>
      </c>
      <c r="E719" s="70">
        <v>86065.16</v>
      </c>
      <c r="F719" s="75">
        <v>10649</v>
      </c>
      <c r="G719" s="75">
        <v>95630</v>
      </c>
      <c r="H719" s="194">
        <v>371976.5</v>
      </c>
      <c r="I719" s="194">
        <v>13690.69</v>
      </c>
      <c r="J719" s="75">
        <v>81753.173721494197</v>
      </c>
      <c r="K719" s="73"/>
      <c r="M719" s="72"/>
      <c r="N719" s="54">
        <v>710</v>
      </c>
      <c r="O719" s="70">
        <v>49128.105000000018</v>
      </c>
      <c r="P719" s="75">
        <v>13882</v>
      </c>
      <c r="Q719" s="75">
        <v>80134</v>
      </c>
      <c r="R719" s="194">
        <v>327355.45500000002</v>
      </c>
      <c r="S719" s="194">
        <v>6006.7000000000007</v>
      </c>
      <c r="T719" s="70">
        <v>1700.5450000000008</v>
      </c>
      <c r="U719" s="80">
        <v>81753.173721494197</v>
      </c>
      <c r="V719" s="73"/>
      <c r="X719" s="30"/>
      <c r="Y719" s="54">
        <v>710</v>
      </c>
      <c r="Z719" s="70">
        <v>88287.699999999983</v>
      </c>
      <c r="AA719" s="75">
        <v>10514</v>
      </c>
      <c r="AB719" s="75">
        <v>7661.2</v>
      </c>
      <c r="AC719" s="75">
        <v>88103.8</v>
      </c>
      <c r="AD719" s="194">
        <v>368296.6</v>
      </c>
      <c r="AE719" s="194">
        <v>7788.25</v>
      </c>
      <c r="AF719" s="76">
        <v>0.08</v>
      </c>
      <c r="AG719" s="70">
        <v>3679.900000000001</v>
      </c>
      <c r="AH719" s="31"/>
    </row>
    <row r="720" spans="3:34" x14ac:dyDescent="0.25">
      <c r="C720" s="72"/>
      <c r="D720" s="54">
        <v>711</v>
      </c>
      <c r="E720" s="70">
        <v>30635.27</v>
      </c>
      <c r="F720" s="75">
        <v>7133</v>
      </c>
      <c r="G720" s="75">
        <v>82795</v>
      </c>
      <c r="H720" s="194">
        <v>314748</v>
      </c>
      <c r="I720" s="194">
        <v>11892.08</v>
      </c>
      <c r="J720" s="75">
        <v>81753.173721494197</v>
      </c>
      <c r="K720" s="73"/>
      <c r="M720" s="72"/>
      <c r="N720" s="54">
        <v>711</v>
      </c>
      <c r="O720" s="70">
        <v>63441.229999999981</v>
      </c>
      <c r="P720" s="75">
        <v>10992</v>
      </c>
      <c r="Q720" s="75">
        <v>87112</v>
      </c>
      <c r="R720" s="194">
        <v>342017.48</v>
      </c>
      <c r="S720" s="194">
        <v>6355.6</v>
      </c>
      <c r="T720" s="70">
        <v>1346.5200000000007</v>
      </c>
      <c r="U720" s="80">
        <v>81753.173721494197</v>
      </c>
      <c r="V720" s="73"/>
      <c r="X720" s="30"/>
      <c r="Y720" s="54">
        <v>711</v>
      </c>
      <c r="Z720" s="70">
        <v>31500.849999999988</v>
      </c>
      <c r="AA720" s="75">
        <v>11767</v>
      </c>
      <c r="AB720" s="75">
        <v>4689.66</v>
      </c>
      <c r="AC720" s="75">
        <v>73471.34</v>
      </c>
      <c r="AD720" s="194">
        <v>310629.55</v>
      </c>
      <c r="AE720" s="194">
        <v>6908.05</v>
      </c>
      <c r="AF720" s="76">
        <v>0.06</v>
      </c>
      <c r="AG720" s="70">
        <v>4118.4500000000007</v>
      </c>
      <c r="AH720" s="31"/>
    </row>
    <row r="721" spans="3:34" x14ac:dyDescent="0.25">
      <c r="C721" s="72"/>
      <c r="D721" s="54">
        <v>712</v>
      </c>
      <c r="E721" s="70">
        <v>44493.59</v>
      </c>
      <c r="F721" s="75">
        <v>7448</v>
      </c>
      <c r="G721" s="75">
        <v>86568</v>
      </c>
      <c r="H721" s="194">
        <v>329056</v>
      </c>
      <c r="I721" s="194">
        <v>12341.76</v>
      </c>
      <c r="J721" s="75">
        <v>81753.173721494197</v>
      </c>
      <c r="K721" s="73"/>
      <c r="M721" s="72"/>
      <c r="N721" s="54">
        <v>712</v>
      </c>
      <c r="O721" s="70">
        <v>49313.197500000009</v>
      </c>
      <c r="P721" s="75">
        <v>11329</v>
      </c>
      <c r="Q721" s="75">
        <v>82687</v>
      </c>
      <c r="R721" s="194">
        <v>327668.19750000001</v>
      </c>
      <c r="S721" s="194">
        <v>6134.35</v>
      </c>
      <c r="T721" s="70">
        <v>1387.8025000000007</v>
      </c>
      <c r="U721" s="80">
        <v>81753.173721494197</v>
      </c>
      <c r="V721" s="73"/>
      <c r="X721" s="30"/>
      <c r="Y721" s="54">
        <v>712</v>
      </c>
      <c r="Z721" s="70">
        <v>88300.9</v>
      </c>
      <c r="AA721" s="75">
        <v>10470</v>
      </c>
      <c r="AB721" s="75">
        <v>9580.9</v>
      </c>
      <c r="AC721" s="75">
        <v>86228.1</v>
      </c>
      <c r="AD721" s="194">
        <v>368312</v>
      </c>
      <c r="AE721" s="194">
        <v>7790.45</v>
      </c>
      <c r="AF721" s="76">
        <v>0.1</v>
      </c>
      <c r="AG721" s="70">
        <v>3664.5000000000009</v>
      </c>
      <c r="AH721" s="31"/>
    </row>
    <row r="722" spans="3:34" x14ac:dyDescent="0.25">
      <c r="C722" s="72"/>
      <c r="D722" s="54">
        <v>713</v>
      </c>
      <c r="E722" s="70">
        <v>30635.27</v>
      </c>
      <c r="F722" s="75">
        <v>4584</v>
      </c>
      <c r="G722" s="75">
        <v>85344</v>
      </c>
      <c r="H722" s="194">
        <v>314748</v>
      </c>
      <c r="I722" s="194">
        <v>11892.08</v>
      </c>
      <c r="J722" s="75">
        <v>81753.173721494197</v>
      </c>
      <c r="K722" s="73"/>
      <c r="M722" s="72"/>
      <c r="N722" s="54">
        <v>713</v>
      </c>
      <c r="O722" s="70">
        <v>35180.597500000011</v>
      </c>
      <c r="P722" s="75">
        <v>11729</v>
      </c>
      <c r="Q722" s="75">
        <v>78199</v>
      </c>
      <c r="R722" s="194">
        <v>313311.19750000001</v>
      </c>
      <c r="S722" s="194">
        <v>5909.9500000000007</v>
      </c>
      <c r="T722" s="70">
        <v>1436.8025000000007</v>
      </c>
      <c r="U722" s="80">
        <v>81753.173721494197</v>
      </c>
      <c r="V722" s="73"/>
      <c r="X722" s="30"/>
      <c r="Y722" s="54">
        <v>713</v>
      </c>
      <c r="Z722" s="70">
        <v>58866.250000000015</v>
      </c>
      <c r="AA722" s="75">
        <v>14573</v>
      </c>
      <c r="AB722" s="75">
        <v>6682.4800000000005</v>
      </c>
      <c r="AC722" s="75">
        <v>76848.52</v>
      </c>
      <c r="AD722" s="194">
        <v>338263.45</v>
      </c>
      <c r="AE722" s="194">
        <v>7176.55</v>
      </c>
      <c r="AF722" s="76">
        <v>0.08</v>
      </c>
      <c r="AG722" s="70">
        <v>5100.5500000000011</v>
      </c>
      <c r="AH722" s="31"/>
    </row>
    <row r="723" spans="3:34" x14ac:dyDescent="0.25">
      <c r="C723" s="72"/>
      <c r="D723" s="54">
        <v>714</v>
      </c>
      <c r="E723" s="70">
        <v>44493.59</v>
      </c>
      <c r="F723" s="75">
        <v>5538</v>
      </c>
      <c r="G723" s="75">
        <v>88478</v>
      </c>
      <c r="H723" s="194">
        <v>329056</v>
      </c>
      <c r="I723" s="194">
        <v>12341.76</v>
      </c>
      <c r="J723" s="75">
        <v>81753.173721494197</v>
      </c>
      <c r="K723" s="73"/>
      <c r="M723" s="72"/>
      <c r="N723" s="54">
        <v>714</v>
      </c>
      <c r="O723" s="70">
        <v>49111.647500000021</v>
      </c>
      <c r="P723" s="75">
        <v>14109</v>
      </c>
      <c r="Q723" s="75">
        <v>79907</v>
      </c>
      <c r="R723" s="194">
        <v>327327.64750000002</v>
      </c>
      <c r="S723" s="194">
        <v>5995.35</v>
      </c>
      <c r="T723" s="70">
        <v>1728.3525000000006</v>
      </c>
      <c r="U723" s="80">
        <v>81753.173721494197</v>
      </c>
      <c r="V723" s="73"/>
      <c r="X723" s="30"/>
      <c r="Y723" s="54">
        <v>714</v>
      </c>
      <c r="Z723" s="70">
        <v>86949.699999999983</v>
      </c>
      <c r="AA723" s="75">
        <v>14974</v>
      </c>
      <c r="AB723" s="75">
        <v>7304.4000000000005</v>
      </c>
      <c r="AC723" s="75">
        <v>84000.6</v>
      </c>
      <c r="AD723" s="194">
        <v>366735.6</v>
      </c>
      <c r="AE723" s="194">
        <v>7565.25</v>
      </c>
      <c r="AF723" s="76">
        <v>0.08</v>
      </c>
      <c r="AG723" s="70">
        <v>5240.9000000000015</v>
      </c>
      <c r="AH723" s="31"/>
    </row>
    <row r="724" spans="3:34" x14ac:dyDescent="0.25">
      <c r="C724" s="72"/>
      <c r="D724" s="54">
        <v>715</v>
      </c>
      <c r="E724" s="70">
        <v>30635.27</v>
      </c>
      <c r="F724" s="75">
        <v>7973</v>
      </c>
      <c r="G724" s="75">
        <v>81955</v>
      </c>
      <c r="H724" s="194">
        <v>314748</v>
      </c>
      <c r="I724" s="194">
        <v>11892.08</v>
      </c>
      <c r="J724" s="75">
        <v>81753.173721494197</v>
      </c>
      <c r="K724" s="73"/>
      <c r="M724" s="72"/>
      <c r="N724" s="54">
        <v>715</v>
      </c>
      <c r="O724" s="70">
        <v>35316.607500000006</v>
      </c>
      <c r="P724" s="75">
        <v>9853</v>
      </c>
      <c r="Q724" s="75">
        <v>80075</v>
      </c>
      <c r="R724" s="194">
        <v>313541.00750000001</v>
      </c>
      <c r="S724" s="194">
        <v>6003.75</v>
      </c>
      <c r="T724" s="70">
        <v>1206.9925000000005</v>
      </c>
      <c r="U724" s="80">
        <v>81753.173721494197</v>
      </c>
      <c r="V724" s="73"/>
      <c r="X724" s="30"/>
      <c r="Y724" s="54">
        <v>715</v>
      </c>
      <c r="Z724" s="70">
        <v>45184.750000000022</v>
      </c>
      <c r="AA724" s="75">
        <v>13166</v>
      </c>
      <c r="AB724" s="75">
        <v>8085</v>
      </c>
      <c r="AC724" s="75">
        <v>72765</v>
      </c>
      <c r="AD724" s="194">
        <v>324447.90000000002</v>
      </c>
      <c r="AE724" s="194">
        <v>7042.5</v>
      </c>
      <c r="AF724" s="76">
        <v>0.1</v>
      </c>
      <c r="AG724" s="70">
        <v>4608.1000000000013</v>
      </c>
      <c r="AH724" s="31"/>
    </row>
    <row r="725" spans="3:34" x14ac:dyDescent="0.25">
      <c r="C725" s="72"/>
      <c r="D725" s="54">
        <v>716</v>
      </c>
      <c r="E725" s="70">
        <v>30635.27</v>
      </c>
      <c r="F725" s="75">
        <v>8016</v>
      </c>
      <c r="G725" s="75">
        <v>81912</v>
      </c>
      <c r="H725" s="194">
        <v>314748</v>
      </c>
      <c r="I725" s="194">
        <v>11892.08</v>
      </c>
      <c r="J725" s="75">
        <v>81753.173721494197</v>
      </c>
      <c r="K725" s="73"/>
      <c r="M725" s="72"/>
      <c r="N725" s="54">
        <v>716</v>
      </c>
      <c r="O725" s="70">
        <v>63230.400000000001</v>
      </c>
      <c r="P725" s="75">
        <v>13900</v>
      </c>
      <c r="Q725" s="75">
        <v>84204</v>
      </c>
      <c r="R725" s="194">
        <v>341661.25</v>
      </c>
      <c r="S725" s="194">
        <v>6210.2</v>
      </c>
      <c r="T725" s="70">
        <v>1702.7500000000007</v>
      </c>
      <c r="U725" s="80">
        <v>81753.173721494197</v>
      </c>
      <c r="V725" s="73"/>
      <c r="X725" s="30"/>
      <c r="Y725" s="54">
        <v>716</v>
      </c>
      <c r="Z725" s="70">
        <v>86678.500000000015</v>
      </c>
      <c r="AA725" s="75">
        <v>15878</v>
      </c>
      <c r="AB725" s="75">
        <v>7232.08</v>
      </c>
      <c r="AC725" s="75">
        <v>83168.92</v>
      </c>
      <c r="AD725" s="194">
        <v>366419.20000000001</v>
      </c>
      <c r="AE725" s="194">
        <v>7520.05</v>
      </c>
      <c r="AF725" s="76">
        <v>0.08</v>
      </c>
      <c r="AG725" s="70">
        <v>5557.3000000000011</v>
      </c>
      <c r="AH725" s="31"/>
    </row>
    <row r="726" spans="3:34" x14ac:dyDescent="0.25">
      <c r="C726" s="72"/>
      <c r="D726" s="54">
        <v>717</v>
      </c>
      <c r="E726" s="70">
        <v>44493.59</v>
      </c>
      <c r="F726" s="75">
        <v>8385</v>
      </c>
      <c r="G726" s="75">
        <v>85631</v>
      </c>
      <c r="H726" s="194">
        <v>329056</v>
      </c>
      <c r="I726" s="194">
        <v>12341.76</v>
      </c>
      <c r="J726" s="75">
        <v>81753.173721494197</v>
      </c>
      <c r="K726" s="73"/>
      <c r="M726" s="72"/>
      <c r="N726" s="54">
        <v>717</v>
      </c>
      <c r="O726" s="70">
        <v>91524.847500000003</v>
      </c>
      <c r="P726" s="75">
        <v>12649</v>
      </c>
      <c r="Q726" s="75">
        <v>93630</v>
      </c>
      <c r="R726" s="194">
        <v>370426.9975</v>
      </c>
      <c r="S726" s="194">
        <v>6681.5</v>
      </c>
      <c r="T726" s="70">
        <v>1549.5025000000007</v>
      </c>
      <c r="U726" s="80">
        <v>81753.173721494197</v>
      </c>
      <c r="V726" s="73"/>
      <c r="X726" s="30"/>
      <c r="Y726" s="54">
        <v>717</v>
      </c>
      <c r="Z726" s="70">
        <v>59686.449999999975</v>
      </c>
      <c r="AA726" s="75">
        <v>11839</v>
      </c>
      <c r="AB726" s="75">
        <v>4313.25</v>
      </c>
      <c r="AC726" s="75">
        <v>81951.75</v>
      </c>
      <c r="AD726" s="194">
        <v>339220.35</v>
      </c>
      <c r="AE726" s="194">
        <v>7313.25</v>
      </c>
      <c r="AF726" s="76">
        <v>0.05</v>
      </c>
      <c r="AG726" s="70">
        <v>4143.6500000000015</v>
      </c>
      <c r="AH726" s="31"/>
    </row>
    <row r="727" spans="3:34" x14ac:dyDescent="0.25">
      <c r="C727" s="72"/>
      <c r="D727" s="54">
        <v>718</v>
      </c>
      <c r="E727" s="70">
        <v>44493.59</v>
      </c>
      <c r="F727" s="75">
        <v>6521</v>
      </c>
      <c r="G727" s="75">
        <v>87495</v>
      </c>
      <c r="H727" s="194">
        <v>329056</v>
      </c>
      <c r="I727" s="194">
        <v>12341.76</v>
      </c>
      <c r="J727" s="75">
        <v>81753.173721494197</v>
      </c>
      <c r="K727" s="73"/>
      <c r="M727" s="72"/>
      <c r="N727" s="54">
        <v>718</v>
      </c>
      <c r="O727" s="70">
        <v>63388.522499999985</v>
      </c>
      <c r="P727" s="75">
        <v>11719</v>
      </c>
      <c r="Q727" s="75">
        <v>86385</v>
      </c>
      <c r="R727" s="194">
        <v>341928.42249999999</v>
      </c>
      <c r="S727" s="194">
        <v>6319.25</v>
      </c>
      <c r="T727" s="70">
        <v>1435.5775000000006</v>
      </c>
      <c r="U727" s="80">
        <v>81753.173721494197</v>
      </c>
      <c r="V727" s="73"/>
      <c r="X727" s="30"/>
      <c r="Y727" s="54">
        <v>718</v>
      </c>
      <c r="Z727" s="70">
        <v>88244.199999999983</v>
      </c>
      <c r="AA727" s="75">
        <v>10659</v>
      </c>
      <c r="AB727" s="75">
        <v>9562</v>
      </c>
      <c r="AC727" s="75">
        <v>86058</v>
      </c>
      <c r="AD727" s="194">
        <v>368245.85</v>
      </c>
      <c r="AE727" s="194">
        <v>7781</v>
      </c>
      <c r="AF727" s="76">
        <v>0.1</v>
      </c>
      <c r="AG727" s="70">
        <v>3730.650000000001</v>
      </c>
      <c r="AH727" s="31"/>
    </row>
    <row r="728" spans="3:34" x14ac:dyDescent="0.25">
      <c r="C728" s="72"/>
      <c r="D728" s="54">
        <v>719</v>
      </c>
      <c r="E728" s="70">
        <v>58351.91</v>
      </c>
      <c r="F728" s="75">
        <v>5011</v>
      </c>
      <c r="G728" s="75">
        <v>93093</v>
      </c>
      <c r="H728" s="194">
        <v>343364</v>
      </c>
      <c r="I728" s="194">
        <v>12791.44</v>
      </c>
      <c r="J728" s="75">
        <v>81753.173721494197</v>
      </c>
      <c r="K728" s="73"/>
      <c r="M728" s="72"/>
      <c r="N728" s="54">
        <v>719</v>
      </c>
      <c r="O728" s="70">
        <v>35110.272499999999</v>
      </c>
      <c r="P728" s="75">
        <v>12699</v>
      </c>
      <c r="Q728" s="75">
        <v>77229</v>
      </c>
      <c r="R728" s="194">
        <v>313192.3725</v>
      </c>
      <c r="S728" s="194">
        <v>5861.4500000000007</v>
      </c>
      <c r="T728" s="70">
        <v>1555.6275000000007</v>
      </c>
      <c r="U728" s="80">
        <v>81753.173721494197</v>
      </c>
      <c r="V728" s="73"/>
      <c r="X728" s="30"/>
      <c r="Y728" s="54">
        <v>719</v>
      </c>
      <c r="Z728" s="70">
        <v>45435.55</v>
      </c>
      <c r="AA728" s="75">
        <v>12330</v>
      </c>
      <c r="AB728" s="75">
        <v>7351.74</v>
      </c>
      <c r="AC728" s="75">
        <v>74334.259999999995</v>
      </c>
      <c r="AD728" s="194">
        <v>324740.5</v>
      </c>
      <c r="AE728" s="194">
        <v>7084.3</v>
      </c>
      <c r="AF728" s="76">
        <v>0.09</v>
      </c>
      <c r="AG728" s="70">
        <v>4315.5000000000009</v>
      </c>
      <c r="AH728" s="31"/>
    </row>
    <row r="729" spans="3:34" x14ac:dyDescent="0.25">
      <c r="C729" s="72"/>
      <c r="D729" s="54">
        <v>720</v>
      </c>
      <c r="E729" s="70">
        <v>58351.91</v>
      </c>
      <c r="F729" s="75">
        <v>7944</v>
      </c>
      <c r="G729" s="75">
        <v>90160</v>
      </c>
      <c r="H729" s="194">
        <v>343364</v>
      </c>
      <c r="I729" s="194">
        <v>12791.44</v>
      </c>
      <c r="J729" s="75">
        <v>81753.173721494197</v>
      </c>
      <c r="K729" s="73"/>
      <c r="M729" s="72"/>
      <c r="N729" s="54">
        <v>720</v>
      </c>
      <c r="O729" s="70">
        <v>63315.587500000001</v>
      </c>
      <c r="P729" s="75">
        <v>12725</v>
      </c>
      <c r="Q729" s="75">
        <v>85379</v>
      </c>
      <c r="R729" s="194">
        <v>341805.1875</v>
      </c>
      <c r="S729" s="194">
        <v>6268.95</v>
      </c>
      <c r="T729" s="70">
        <v>1558.8125000000007</v>
      </c>
      <c r="U729" s="80">
        <v>81753.173721494197</v>
      </c>
      <c r="V729" s="73"/>
      <c r="X729" s="30"/>
      <c r="Y729" s="54">
        <v>720</v>
      </c>
      <c r="Z729" s="70">
        <v>58829.35000000002</v>
      </c>
      <c r="AA729" s="75">
        <v>14696</v>
      </c>
      <c r="AB729" s="75">
        <v>5004.4799999999996</v>
      </c>
      <c r="AC729" s="75">
        <v>78403.520000000004</v>
      </c>
      <c r="AD729" s="194">
        <v>338220.4</v>
      </c>
      <c r="AE729" s="194">
        <v>7170.4000000000005</v>
      </c>
      <c r="AF729" s="76">
        <v>0.06</v>
      </c>
      <c r="AG729" s="70">
        <v>5143.6000000000013</v>
      </c>
      <c r="AH729" s="31"/>
    </row>
    <row r="730" spans="3:34" x14ac:dyDescent="0.25">
      <c r="C730" s="72"/>
      <c r="D730" s="54">
        <v>721</v>
      </c>
      <c r="E730" s="70">
        <v>58351.91</v>
      </c>
      <c r="F730" s="75">
        <v>6811</v>
      </c>
      <c r="G730" s="75">
        <v>91293</v>
      </c>
      <c r="H730" s="194">
        <v>343364</v>
      </c>
      <c r="I730" s="194">
        <v>12791.44</v>
      </c>
      <c r="J730" s="75">
        <v>81753.173721494197</v>
      </c>
      <c r="K730" s="73"/>
      <c r="M730" s="72"/>
      <c r="N730" s="54">
        <v>721</v>
      </c>
      <c r="O730" s="70">
        <v>63328.927499999976</v>
      </c>
      <c r="P730" s="75">
        <v>12541</v>
      </c>
      <c r="Q730" s="75">
        <v>85563</v>
      </c>
      <c r="R730" s="194">
        <v>341827.72749999998</v>
      </c>
      <c r="S730" s="194">
        <v>6278.1500000000005</v>
      </c>
      <c r="T730" s="70">
        <v>1536.2725000000007</v>
      </c>
      <c r="U730" s="80">
        <v>81753.173721494197</v>
      </c>
      <c r="V730" s="73"/>
      <c r="X730" s="30"/>
      <c r="Y730" s="54">
        <v>721</v>
      </c>
      <c r="Z730" s="70">
        <v>44930.94999999999</v>
      </c>
      <c r="AA730" s="75">
        <v>14012</v>
      </c>
      <c r="AB730" s="75">
        <v>4000.2000000000003</v>
      </c>
      <c r="AC730" s="75">
        <v>76003.8</v>
      </c>
      <c r="AD730" s="194">
        <v>324151.8</v>
      </c>
      <c r="AE730" s="194">
        <v>7000.2000000000007</v>
      </c>
      <c r="AF730" s="76">
        <v>0.05</v>
      </c>
      <c r="AG730" s="70">
        <v>4904.2000000000016</v>
      </c>
      <c r="AH730" s="31"/>
    </row>
    <row r="731" spans="3:34" x14ac:dyDescent="0.25">
      <c r="C731" s="72"/>
      <c r="D731" s="54">
        <v>722</v>
      </c>
      <c r="E731" s="70">
        <v>86065.16</v>
      </c>
      <c r="F731" s="75">
        <v>7442</v>
      </c>
      <c r="G731" s="75">
        <v>98837</v>
      </c>
      <c r="H731" s="194">
        <v>371976.5</v>
      </c>
      <c r="I731" s="194">
        <v>13690.69</v>
      </c>
      <c r="J731" s="75">
        <v>81753.173721494197</v>
      </c>
      <c r="K731" s="73"/>
      <c r="M731" s="72"/>
      <c r="N731" s="54">
        <v>722</v>
      </c>
      <c r="O731" s="70">
        <v>49451.96249999998</v>
      </c>
      <c r="P731" s="75">
        <v>9415</v>
      </c>
      <c r="Q731" s="75">
        <v>84601</v>
      </c>
      <c r="R731" s="194">
        <v>327902.66249999998</v>
      </c>
      <c r="S731" s="194">
        <v>6230.05</v>
      </c>
      <c r="T731" s="70">
        <v>1153.3375000000005</v>
      </c>
      <c r="U731" s="80">
        <v>81753.173721494197</v>
      </c>
      <c r="V731" s="73"/>
      <c r="X731" s="30"/>
      <c r="Y731" s="54">
        <v>722</v>
      </c>
      <c r="Z731" s="70">
        <v>31504.749999999978</v>
      </c>
      <c r="AA731" s="75">
        <v>11754</v>
      </c>
      <c r="AB731" s="75">
        <v>4690.4399999999996</v>
      </c>
      <c r="AC731" s="75">
        <v>73483.56</v>
      </c>
      <c r="AD731" s="194">
        <v>310634.09999999998</v>
      </c>
      <c r="AE731" s="194">
        <v>6908.7000000000007</v>
      </c>
      <c r="AF731" s="76">
        <v>0.06</v>
      </c>
      <c r="AG731" s="70">
        <v>4113.9000000000015</v>
      </c>
      <c r="AH731" s="31"/>
    </row>
    <row r="732" spans="3:34" x14ac:dyDescent="0.25">
      <c r="C732" s="72"/>
      <c r="D732" s="54">
        <v>723</v>
      </c>
      <c r="E732" s="70">
        <v>30635.27</v>
      </c>
      <c r="F732" s="75">
        <v>4453</v>
      </c>
      <c r="G732" s="75">
        <v>85475</v>
      </c>
      <c r="H732" s="194">
        <v>314748</v>
      </c>
      <c r="I732" s="194">
        <v>11892.08</v>
      </c>
      <c r="J732" s="75">
        <v>81753.173721494197</v>
      </c>
      <c r="K732" s="73"/>
      <c r="M732" s="72"/>
      <c r="N732" s="54">
        <v>723</v>
      </c>
      <c r="O732" s="70">
        <v>63455.584999999985</v>
      </c>
      <c r="P732" s="75">
        <v>10794</v>
      </c>
      <c r="Q732" s="75">
        <v>87310</v>
      </c>
      <c r="R732" s="194">
        <v>342041.73499999999</v>
      </c>
      <c r="S732" s="194">
        <v>6365.5</v>
      </c>
      <c r="T732" s="70">
        <v>1322.2650000000006</v>
      </c>
      <c r="U732" s="80">
        <v>81753.173721494197</v>
      </c>
      <c r="V732" s="73"/>
      <c r="X732" s="30"/>
      <c r="Y732" s="54">
        <v>723</v>
      </c>
      <c r="Z732" s="70">
        <v>59440.15</v>
      </c>
      <c r="AA732" s="75">
        <v>12660</v>
      </c>
      <c r="AB732" s="75">
        <v>5126.6399999999994</v>
      </c>
      <c r="AC732" s="75">
        <v>80317.36</v>
      </c>
      <c r="AD732" s="194">
        <v>338933</v>
      </c>
      <c r="AE732" s="194">
        <v>7272.2</v>
      </c>
      <c r="AF732" s="76">
        <v>0.06</v>
      </c>
      <c r="AG732" s="70">
        <v>4431.0000000000009</v>
      </c>
      <c r="AH732" s="31"/>
    </row>
    <row r="733" spans="3:34" x14ac:dyDescent="0.25">
      <c r="C733" s="72"/>
      <c r="D733" s="54">
        <v>724</v>
      </c>
      <c r="E733" s="70">
        <v>58351.91</v>
      </c>
      <c r="F733" s="75">
        <v>5811</v>
      </c>
      <c r="G733" s="75">
        <v>92293</v>
      </c>
      <c r="H733" s="194">
        <v>343364</v>
      </c>
      <c r="I733" s="194">
        <v>12791.44</v>
      </c>
      <c r="J733" s="75">
        <v>81753.173721494197</v>
      </c>
      <c r="K733" s="73"/>
      <c r="M733" s="72"/>
      <c r="N733" s="54">
        <v>724</v>
      </c>
      <c r="O733" s="70">
        <v>63533.44999999999</v>
      </c>
      <c r="P733" s="75">
        <v>9720</v>
      </c>
      <c r="Q733" s="75">
        <v>88384</v>
      </c>
      <c r="R733" s="194">
        <v>342173.3</v>
      </c>
      <c r="S733" s="194">
        <v>6419.2</v>
      </c>
      <c r="T733" s="70">
        <v>1190.7000000000005</v>
      </c>
      <c r="U733" s="80">
        <v>81753.173721494197</v>
      </c>
      <c r="V733" s="73"/>
      <c r="X733" s="30"/>
      <c r="Y733" s="54">
        <v>724</v>
      </c>
      <c r="Z733" s="70">
        <v>45183.250000000022</v>
      </c>
      <c r="AA733" s="75">
        <v>13171</v>
      </c>
      <c r="AB733" s="75">
        <v>8084.5</v>
      </c>
      <c r="AC733" s="75">
        <v>72760.5</v>
      </c>
      <c r="AD733" s="194">
        <v>324446.15000000002</v>
      </c>
      <c r="AE733" s="194">
        <v>7042.25</v>
      </c>
      <c r="AF733" s="76">
        <v>0.1</v>
      </c>
      <c r="AG733" s="70">
        <v>4609.8500000000013</v>
      </c>
      <c r="AH733" s="31"/>
    </row>
    <row r="734" spans="3:34" x14ac:dyDescent="0.25">
      <c r="C734" s="72"/>
      <c r="D734" s="54">
        <v>725</v>
      </c>
      <c r="E734" s="70">
        <v>86065.16</v>
      </c>
      <c r="F734" s="75">
        <v>9619</v>
      </c>
      <c r="G734" s="75">
        <v>96660</v>
      </c>
      <c r="H734" s="194">
        <v>371976.5</v>
      </c>
      <c r="I734" s="194">
        <v>13690.69</v>
      </c>
      <c r="J734" s="75">
        <v>81753.173721494197</v>
      </c>
      <c r="K734" s="73"/>
      <c r="M734" s="72"/>
      <c r="N734" s="54">
        <v>725</v>
      </c>
      <c r="O734" s="70">
        <v>49378.375000000015</v>
      </c>
      <c r="P734" s="75">
        <v>10430</v>
      </c>
      <c r="Q734" s="75">
        <v>83586</v>
      </c>
      <c r="R734" s="194">
        <v>327778.32500000001</v>
      </c>
      <c r="S734" s="194">
        <v>6179.3</v>
      </c>
      <c r="T734" s="70">
        <v>1277.6750000000006</v>
      </c>
      <c r="U734" s="80">
        <v>81753.173721494197</v>
      </c>
      <c r="V734" s="73"/>
      <c r="X734" s="30"/>
      <c r="Y734" s="54">
        <v>725</v>
      </c>
      <c r="Z734" s="70">
        <v>45759.250000000022</v>
      </c>
      <c r="AA734" s="75">
        <v>11251</v>
      </c>
      <c r="AB734" s="75">
        <v>6621.2</v>
      </c>
      <c r="AC734" s="75">
        <v>76143.8</v>
      </c>
      <c r="AD734" s="194">
        <v>325118.15000000002</v>
      </c>
      <c r="AE734" s="194">
        <v>7138.25</v>
      </c>
      <c r="AF734" s="76">
        <v>0.08</v>
      </c>
      <c r="AG734" s="70">
        <v>3937.8500000000008</v>
      </c>
      <c r="AH734" s="31"/>
    </row>
    <row r="735" spans="3:34" x14ac:dyDescent="0.25">
      <c r="C735" s="72"/>
      <c r="D735" s="54">
        <v>726</v>
      </c>
      <c r="E735" s="70">
        <v>30635.27</v>
      </c>
      <c r="F735" s="75">
        <v>7191</v>
      </c>
      <c r="G735" s="75">
        <v>82737</v>
      </c>
      <c r="H735" s="194">
        <v>314748</v>
      </c>
      <c r="I735" s="194">
        <v>11892.08</v>
      </c>
      <c r="J735" s="75">
        <v>81753.173721494197</v>
      </c>
      <c r="K735" s="73"/>
      <c r="M735" s="72"/>
      <c r="N735" s="54">
        <v>726</v>
      </c>
      <c r="O735" s="70">
        <v>49250.194999999992</v>
      </c>
      <c r="P735" s="75">
        <v>12198</v>
      </c>
      <c r="Q735" s="75">
        <v>81818</v>
      </c>
      <c r="R735" s="194">
        <v>327561.745</v>
      </c>
      <c r="S735" s="194">
        <v>6090.9</v>
      </c>
      <c r="T735" s="70">
        <v>1494.2550000000006</v>
      </c>
      <c r="U735" s="80">
        <v>81753.173721494197</v>
      </c>
      <c r="V735" s="73"/>
      <c r="X735" s="30"/>
      <c r="Y735" s="54">
        <v>726</v>
      </c>
      <c r="Z735" s="70">
        <v>44966.650000000009</v>
      </c>
      <c r="AA735" s="75">
        <v>13893</v>
      </c>
      <c r="AB735" s="75">
        <v>4807.38</v>
      </c>
      <c r="AC735" s="75">
        <v>75315.62</v>
      </c>
      <c r="AD735" s="194">
        <v>324193.45</v>
      </c>
      <c r="AE735" s="194">
        <v>7006.15</v>
      </c>
      <c r="AF735" s="76">
        <v>0.06</v>
      </c>
      <c r="AG735" s="70">
        <v>4862.5500000000011</v>
      </c>
      <c r="AH735" s="31"/>
    </row>
    <row r="736" spans="3:34" x14ac:dyDescent="0.25">
      <c r="C736" s="72"/>
      <c r="D736" s="54">
        <v>727</v>
      </c>
      <c r="E736" s="70">
        <v>30635.27</v>
      </c>
      <c r="F736" s="75">
        <v>9112</v>
      </c>
      <c r="G736" s="75">
        <v>80816</v>
      </c>
      <c r="H736" s="194">
        <v>314748</v>
      </c>
      <c r="I736" s="194">
        <v>11892.08</v>
      </c>
      <c r="J736" s="75">
        <v>81753.173721494197</v>
      </c>
      <c r="K736" s="73"/>
      <c r="M736" s="72"/>
      <c r="N736" s="54">
        <v>727</v>
      </c>
      <c r="O736" s="70">
        <v>49167.254999999983</v>
      </c>
      <c r="P736" s="75">
        <v>13342</v>
      </c>
      <c r="Q736" s="75">
        <v>80674</v>
      </c>
      <c r="R736" s="194">
        <v>327421.60499999998</v>
      </c>
      <c r="S736" s="194">
        <v>6033.7000000000007</v>
      </c>
      <c r="T736" s="70">
        <v>1634.3950000000007</v>
      </c>
      <c r="U736" s="80">
        <v>81753.173721494197</v>
      </c>
      <c r="V736" s="73"/>
      <c r="X736" s="30"/>
      <c r="Y736" s="54">
        <v>727</v>
      </c>
      <c r="Z736" s="70">
        <v>59097.85000000002</v>
      </c>
      <c r="AA736" s="75">
        <v>13801</v>
      </c>
      <c r="AB736" s="75">
        <v>8430.3000000000011</v>
      </c>
      <c r="AC736" s="75">
        <v>75872.7</v>
      </c>
      <c r="AD736" s="194">
        <v>338533.65</v>
      </c>
      <c r="AE736" s="194">
        <v>7215.1500000000005</v>
      </c>
      <c r="AF736" s="76">
        <v>0.1</v>
      </c>
      <c r="AG736" s="70">
        <v>4830.3500000000013</v>
      </c>
      <c r="AH736" s="31"/>
    </row>
    <row r="737" spans="3:34" x14ac:dyDescent="0.25">
      <c r="C737" s="72"/>
      <c r="D737" s="54">
        <v>728</v>
      </c>
      <c r="E737" s="70">
        <v>58351.91</v>
      </c>
      <c r="F737" s="75">
        <v>8821</v>
      </c>
      <c r="G737" s="75">
        <v>89283</v>
      </c>
      <c r="H737" s="194">
        <v>343364</v>
      </c>
      <c r="I737" s="194">
        <v>12791.44</v>
      </c>
      <c r="J737" s="75">
        <v>81753.173721494197</v>
      </c>
      <c r="K737" s="73"/>
      <c r="M737" s="72"/>
      <c r="N737" s="54">
        <v>728</v>
      </c>
      <c r="O737" s="70">
        <v>49108.964999999989</v>
      </c>
      <c r="P737" s="75">
        <v>14146</v>
      </c>
      <c r="Q737" s="75">
        <v>79870</v>
      </c>
      <c r="R737" s="194">
        <v>327323.11499999999</v>
      </c>
      <c r="S737" s="194">
        <v>5993.5</v>
      </c>
      <c r="T737" s="70">
        <v>1732.8850000000007</v>
      </c>
      <c r="U737" s="80">
        <v>81753.173721494197</v>
      </c>
      <c r="V737" s="73"/>
      <c r="X737" s="30"/>
      <c r="Y737" s="54">
        <v>728</v>
      </c>
      <c r="Z737" s="70">
        <v>45465.250000000022</v>
      </c>
      <c r="AA737" s="75">
        <v>12231</v>
      </c>
      <c r="AB737" s="75">
        <v>6542.8</v>
      </c>
      <c r="AC737" s="75">
        <v>75242.2</v>
      </c>
      <c r="AD737" s="194">
        <v>324775.15000000002</v>
      </c>
      <c r="AE737" s="194">
        <v>7089.25</v>
      </c>
      <c r="AF737" s="76">
        <v>0.08</v>
      </c>
      <c r="AG737" s="70">
        <v>4280.8500000000013</v>
      </c>
      <c r="AH737" s="31"/>
    </row>
    <row r="738" spans="3:34" x14ac:dyDescent="0.25">
      <c r="C738" s="72"/>
      <c r="D738" s="54">
        <v>729</v>
      </c>
      <c r="E738" s="70">
        <v>58351.91</v>
      </c>
      <c r="F738" s="75">
        <v>4909</v>
      </c>
      <c r="G738" s="75">
        <v>93195</v>
      </c>
      <c r="H738" s="194">
        <v>343364</v>
      </c>
      <c r="I738" s="194">
        <v>12791.44</v>
      </c>
      <c r="J738" s="75">
        <v>81753.173721494197</v>
      </c>
      <c r="K738" s="73"/>
      <c r="M738" s="72"/>
      <c r="N738" s="54">
        <v>729</v>
      </c>
      <c r="O738" s="70">
        <v>63186.320000000022</v>
      </c>
      <c r="P738" s="75">
        <v>14508</v>
      </c>
      <c r="Q738" s="75">
        <v>83596</v>
      </c>
      <c r="R738" s="194">
        <v>341586.77</v>
      </c>
      <c r="S738" s="194">
        <v>6179.8</v>
      </c>
      <c r="T738" s="70">
        <v>1777.2300000000007</v>
      </c>
      <c r="U738" s="80">
        <v>81753.173721494197</v>
      </c>
      <c r="V738" s="73"/>
      <c r="X738" s="30"/>
      <c r="Y738" s="54">
        <v>729</v>
      </c>
      <c r="Z738" s="70">
        <v>58844.35000000002</v>
      </c>
      <c r="AA738" s="75">
        <v>14646</v>
      </c>
      <c r="AB738" s="75">
        <v>4172.9000000000005</v>
      </c>
      <c r="AC738" s="75">
        <v>79285.100000000006</v>
      </c>
      <c r="AD738" s="194">
        <v>338237.9</v>
      </c>
      <c r="AE738" s="194">
        <v>7172.9000000000005</v>
      </c>
      <c r="AF738" s="76">
        <v>0.05</v>
      </c>
      <c r="AG738" s="70">
        <v>5126.1000000000013</v>
      </c>
      <c r="AH738" s="31"/>
    </row>
    <row r="739" spans="3:34" x14ac:dyDescent="0.25">
      <c r="C739" s="72"/>
      <c r="D739" s="54">
        <v>730</v>
      </c>
      <c r="E739" s="70">
        <v>58351.91</v>
      </c>
      <c r="F739" s="75">
        <v>9973</v>
      </c>
      <c r="G739" s="75">
        <v>88131</v>
      </c>
      <c r="H739" s="194">
        <v>343364</v>
      </c>
      <c r="I739" s="194">
        <v>12791.44</v>
      </c>
      <c r="J739" s="75">
        <v>81753.173721494197</v>
      </c>
      <c r="K739" s="73"/>
      <c r="M739" s="72"/>
      <c r="N739" s="54">
        <v>730</v>
      </c>
      <c r="O739" s="70">
        <v>49191.977500000001</v>
      </c>
      <c r="P739" s="75">
        <v>13001</v>
      </c>
      <c r="Q739" s="75">
        <v>81015</v>
      </c>
      <c r="R739" s="194">
        <v>327463.3775</v>
      </c>
      <c r="S739" s="194">
        <v>6050.75</v>
      </c>
      <c r="T739" s="70">
        <v>1592.6225000000006</v>
      </c>
      <c r="U739" s="80">
        <v>81753.173721494197</v>
      </c>
      <c r="V739" s="73"/>
      <c r="X739" s="30"/>
      <c r="Y739" s="54">
        <v>730</v>
      </c>
      <c r="Z739" s="70">
        <v>31221.849999999988</v>
      </c>
      <c r="AA739" s="75">
        <v>12697</v>
      </c>
      <c r="AB739" s="75">
        <v>5406.17</v>
      </c>
      <c r="AC739" s="75">
        <v>71824.83</v>
      </c>
      <c r="AD739" s="194">
        <v>310304.05</v>
      </c>
      <c r="AE739" s="194">
        <v>6861.55</v>
      </c>
      <c r="AF739" s="76">
        <v>7.0000000000000007E-2</v>
      </c>
      <c r="AG739" s="70">
        <v>4443.9500000000007</v>
      </c>
      <c r="AH739" s="31"/>
    </row>
    <row r="740" spans="3:34" x14ac:dyDescent="0.25">
      <c r="C740" s="72"/>
      <c r="D740" s="54">
        <v>731</v>
      </c>
      <c r="E740" s="70">
        <v>30635.27</v>
      </c>
      <c r="F740" s="75">
        <v>7304</v>
      </c>
      <c r="G740" s="75">
        <v>82624</v>
      </c>
      <c r="H740" s="194">
        <v>314748</v>
      </c>
      <c r="I740" s="194">
        <v>11892.08</v>
      </c>
      <c r="J740" s="75">
        <v>81753.173721494197</v>
      </c>
      <c r="K740" s="73"/>
      <c r="M740" s="72"/>
      <c r="N740" s="54">
        <v>731</v>
      </c>
      <c r="O740" s="70">
        <v>91364.840000000011</v>
      </c>
      <c r="P740" s="75">
        <v>14856</v>
      </c>
      <c r="Q740" s="75">
        <v>91423</v>
      </c>
      <c r="R740" s="194">
        <v>370156.64</v>
      </c>
      <c r="S740" s="194">
        <v>6571.1500000000005</v>
      </c>
      <c r="T740" s="70">
        <v>1819.8600000000008</v>
      </c>
      <c r="U740" s="80">
        <v>81753.173721494197</v>
      </c>
      <c r="V740" s="73"/>
      <c r="X740" s="30"/>
      <c r="Y740" s="54">
        <v>731</v>
      </c>
      <c r="Z740" s="70">
        <v>31259.349999999988</v>
      </c>
      <c r="AA740" s="75">
        <v>12572</v>
      </c>
      <c r="AB740" s="75">
        <v>5414.92</v>
      </c>
      <c r="AC740" s="75">
        <v>71941.08</v>
      </c>
      <c r="AD740" s="194">
        <v>310347.8</v>
      </c>
      <c r="AE740" s="194">
        <v>6867.8</v>
      </c>
      <c r="AF740" s="76">
        <v>7.0000000000000007E-2</v>
      </c>
      <c r="AG740" s="70">
        <v>4400.2000000000007</v>
      </c>
      <c r="AH740" s="31"/>
    </row>
    <row r="741" spans="3:34" x14ac:dyDescent="0.25">
      <c r="C741" s="72"/>
      <c r="D741" s="54">
        <v>732</v>
      </c>
      <c r="E741" s="70">
        <v>44493.59</v>
      </c>
      <c r="F741" s="75">
        <v>9427</v>
      </c>
      <c r="G741" s="75">
        <v>84589</v>
      </c>
      <c r="H741" s="194">
        <v>329056</v>
      </c>
      <c r="I741" s="194">
        <v>12341.76</v>
      </c>
      <c r="J741" s="75">
        <v>81753.173721494197</v>
      </c>
      <c r="K741" s="73"/>
      <c r="M741" s="72"/>
      <c r="N741" s="54">
        <v>732</v>
      </c>
      <c r="O741" s="70">
        <v>49260.345000000016</v>
      </c>
      <c r="P741" s="75">
        <v>12058</v>
      </c>
      <c r="Q741" s="75">
        <v>81958</v>
      </c>
      <c r="R741" s="194">
        <v>327578.89500000002</v>
      </c>
      <c r="S741" s="194">
        <v>6097.9000000000005</v>
      </c>
      <c r="T741" s="70">
        <v>1477.1050000000007</v>
      </c>
      <c r="U741" s="80">
        <v>81753.173721494197</v>
      </c>
      <c r="V741" s="73"/>
      <c r="X741" s="30"/>
      <c r="Y741" s="54">
        <v>732</v>
      </c>
      <c r="Z741" s="70">
        <v>46322.349999999977</v>
      </c>
      <c r="AA741" s="75">
        <v>9374</v>
      </c>
      <c r="AB741" s="75">
        <v>6771.3600000000006</v>
      </c>
      <c r="AC741" s="75">
        <v>77870.64</v>
      </c>
      <c r="AD741" s="194">
        <v>325775.09999999998</v>
      </c>
      <c r="AE741" s="194">
        <v>7232.1</v>
      </c>
      <c r="AF741" s="76">
        <v>0.08</v>
      </c>
      <c r="AG741" s="70">
        <v>3280.900000000001</v>
      </c>
      <c r="AH741" s="31"/>
    </row>
    <row r="742" spans="3:34" x14ac:dyDescent="0.25">
      <c r="C742" s="72"/>
      <c r="D742" s="54">
        <v>733</v>
      </c>
      <c r="E742" s="70">
        <v>30635.27</v>
      </c>
      <c r="F742" s="75">
        <v>4576</v>
      </c>
      <c r="G742" s="75">
        <v>85352</v>
      </c>
      <c r="H742" s="194">
        <v>314748</v>
      </c>
      <c r="I742" s="194">
        <v>11892.08</v>
      </c>
      <c r="J742" s="75">
        <v>81753.173721494197</v>
      </c>
      <c r="K742" s="73"/>
      <c r="M742" s="72"/>
      <c r="N742" s="54">
        <v>733</v>
      </c>
      <c r="O742" s="70">
        <v>35247.297500000022</v>
      </c>
      <c r="P742" s="75">
        <v>10809</v>
      </c>
      <c r="Q742" s="75">
        <v>79119</v>
      </c>
      <c r="R742" s="194">
        <v>313423.89750000002</v>
      </c>
      <c r="S742" s="194">
        <v>5955.9500000000007</v>
      </c>
      <c r="T742" s="70">
        <v>1324.1025000000006</v>
      </c>
      <c r="U742" s="80">
        <v>81753.173721494197</v>
      </c>
      <c r="V742" s="73"/>
      <c r="X742" s="30"/>
      <c r="Y742" s="54">
        <v>733</v>
      </c>
      <c r="Z742" s="70">
        <v>45146.650000000009</v>
      </c>
      <c r="AA742" s="75">
        <v>13293</v>
      </c>
      <c r="AB742" s="75">
        <v>6457.84</v>
      </c>
      <c r="AC742" s="75">
        <v>74265.16</v>
      </c>
      <c r="AD742" s="194">
        <v>324403.45</v>
      </c>
      <c r="AE742" s="194">
        <v>7036.15</v>
      </c>
      <c r="AF742" s="76">
        <v>0.08</v>
      </c>
      <c r="AG742" s="70">
        <v>4652.5500000000011</v>
      </c>
      <c r="AH742" s="31"/>
    </row>
    <row r="743" spans="3:34" x14ac:dyDescent="0.25">
      <c r="C743" s="72"/>
      <c r="D743" s="54">
        <v>734</v>
      </c>
      <c r="E743" s="70">
        <v>44493.59</v>
      </c>
      <c r="F743" s="75">
        <v>6621</v>
      </c>
      <c r="G743" s="75">
        <v>87395</v>
      </c>
      <c r="H743" s="194">
        <v>329056</v>
      </c>
      <c r="I743" s="194">
        <v>12341.76</v>
      </c>
      <c r="J743" s="75">
        <v>81753.173721494197</v>
      </c>
      <c r="K743" s="73"/>
      <c r="M743" s="72"/>
      <c r="N743" s="54">
        <v>734</v>
      </c>
      <c r="O743" s="70">
        <v>63389.392500000016</v>
      </c>
      <c r="P743" s="75">
        <v>11707</v>
      </c>
      <c r="Q743" s="75">
        <v>86397</v>
      </c>
      <c r="R743" s="194">
        <v>341929.89250000002</v>
      </c>
      <c r="S743" s="194">
        <v>6319.85</v>
      </c>
      <c r="T743" s="70">
        <v>1434.1075000000005</v>
      </c>
      <c r="U743" s="80">
        <v>81753.173721494197</v>
      </c>
      <c r="V743" s="73"/>
      <c r="X743" s="30"/>
      <c r="Y743" s="54">
        <v>734</v>
      </c>
      <c r="Z743" s="70">
        <v>46057.750000000022</v>
      </c>
      <c r="AA743" s="75">
        <v>10256</v>
      </c>
      <c r="AB743" s="75">
        <v>4188</v>
      </c>
      <c r="AC743" s="75">
        <v>79572</v>
      </c>
      <c r="AD743" s="194">
        <v>325466.40000000002</v>
      </c>
      <c r="AE743" s="194">
        <v>7188</v>
      </c>
      <c r="AF743" s="76">
        <v>0.05</v>
      </c>
      <c r="AG743" s="70">
        <v>3589.6000000000008</v>
      </c>
      <c r="AH743" s="31"/>
    </row>
    <row r="744" spans="3:34" x14ac:dyDescent="0.25">
      <c r="C744" s="72"/>
      <c r="D744" s="54">
        <v>735</v>
      </c>
      <c r="E744" s="70">
        <v>30635.27</v>
      </c>
      <c r="F744" s="75">
        <v>5391</v>
      </c>
      <c r="G744" s="75">
        <v>84537</v>
      </c>
      <c r="H744" s="194">
        <v>314748</v>
      </c>
      <c r="I744" s="194">
        <v>11892.08</v>
      </c>
      <c r="J744" s="75">
        <v>81753.173721494197</v>
      </c>
      <c r="K744" s="73"/>
      <c r="M744" s="72"/>
      <c r="N744" s="54">
        <v>735</v>
      </c>
      <c r="O744" s="70">
        <v>49455.732499999969</v>
      </c>
      <c r="P744" s="75">
        <v>9363</v>
      </c>
      <c r="Q744" s="75">
        <v>84653</v>
      </c>
      <c r="R744" s="194">
        <v>327909.03249999997</v>
      </c>
      <c r="S744" s="194">
        <v>6232.6500000000005</v>
      </c>
      <c r="T744" s="70">
        <v>1146.9675000000004</v>
      </c>
      <c r="U744" s="80">
        <v>81753.173721494197</v>
      </c>
      <c r="V744" s="73"/>
      <c r="X744" s="30"/>
      <c r="Y744" s="54">
        <v>735</v>
      </c>
      <c r="Z744" s="70">
        <v>32345.650000000023</v>
      </c>
      <c r="AA744" s="75">
        <v>8951</v>
      </c>
      <c r="AB744" s="75">
        <v>4858.62</v>
      </c>
      <c r="AC744" s="75">
        <v>76118.38</v>
      </c>
      <c r="AD744" s="194">
        <v>311615.15000000002</v>
      </c>
      <c r="AE744" s="194">
        <v>7048.85</v>
      </c>
      <c r="AF744" s="76">
        <v>0.06</v>
      </c>
      <c r="AG744" s="70">
        <v>3132.8500000000008</v>
      </c>
      <c r="AH744" s="31"/>
    </row>
    <row r="745" spans="3:34" x14ac:dyDescent="0.25">
      <c r="C745" s="72"/>
      <c r="D745" s="54">
        <v>736</v>
      </c>
      <c r="E745" s="70">
        <v>44493.59</v>
      </c>
      <c r="F745" s="75">
        <v>8497</v>
      </c>
      <c r="G745" s="75">
        <v>85519</v>
      </c>
      <c r="H745" s="194">
        <v>329056</v>
      </c>
      <c r="I745" s="194">
        <v>12341.76</v>
      </c>
      <c r="J745" s="75">
        <v>81753.173721494197</v>
      </c>
      <c r="K745" s="73"/>
      <c r="M745" s="72"/>
      <c r="N745" s="54">
        <v>736</v>
      </c>
      <c r="O745" s="70">
        <v>63328.202499999999</v>
      </c>
      <c r="P745" s="75">
        <v>12551</v>
      </c>
      <c r="Q745" s="75">
        <v>85553</v>
      </c>
      <c r="R745" s="194">
        <v>341826.5025</v>
      </c>
      <c r="S745" s="194">
        <v>6277.6500000000005</v>
      </c>
      <c r="T745" s="70">
        <v>1537.4975000000006</v>
      </c>
      <c r="U745" s="80">
        <v>81753.173721494197</v>
      </c>
      <c r="V745" s="73"/>
      <c r="X745" s="30"/>
      <c r="Y745" s="54">
        <v>736</v>
      </c>
      <c r="Z745" s="70">
        <v>45156.55</v>
      </c>
      <c r="AA745" s="75">
        <v>13260</v>
      </c>
      <c r="AB745" s="75">
        <v>5652.920000000001</v>
      </c>
      <c r="AC745" s="75">
        <v>75103.08</v>
      </c>
      <c r="AD745" s="194">
        <v>324415</v>
      </c>
      <c r="AE745" s="194">
        <v>7037.8</v>
      </c>
      <c r="AF745" s="76">
        <v>7.0000000000000007E-2</v>
      </c>
      <c r="AG745" s="70">
        <v>4641.0000000000009</v>
      </c>
      <c r="AH745" s="31"/>
    </row>
    <row r="746" spans="3:34" x14ac:dyDescent="0.25">
      <c r="C746" s="72"/>
      <c r="D746" s="54">
        <v>737</v>
      </c>
      <c r="E746" s="70">
        <v>44493.59</v>
      </c>
      <c r="F746" s="75">
        <v>9412</v>
      </c>
      <c r="G746" s="75">
        <v>84604</v>
      </c>
      <c r="H746" s="194">
        <v>329056</v>
      </c>
      <c r="I746" s="194">
        <v>12341.76</v>
      </c>
      <c r="J746" s="75">
        <v>81753.173721494197</v>
      </c>
      <c r="K746" s="73"/>
      <c r="M746" s="72"/>
      <c r="N746" s="54">
        <v>737</v>
      </c>
      <c r="O746" s="70">
        <v>49323.057499999981</v>
      </c>
      <c r="P746" s="75">
        <v>11193</v>
      </c>
      <c r="Q746" s="75">
        <v>82823</v>
      </c>
      <c r="R746" s="194">
        <v>327684.85749999998</v>
      </c>
      <c r="S746" s="194">
        <v>6141.1500000000005</v>
      </c>
      <c r="T746" s="70">
        <v>1371.1425000000006</v>
      </c>
      <c r="U746" s="80">
        <v>81753.173721494197</v>
      </c>
      <c r="V746" s="73"/>
      <c r="X746" s="30"/>
      <c r="Y746" s="54">
        <v>737</v>
      </c>
      <c r="Z746" s="70">
        <v>46023.55</v>
      </c>
      <c r="AA746" s="75">
        <v>10370</v>
      </c>
      <c r="AB746" s="75">
        <v>8364.6</v>
      </c>
      <c r="AC746" s="75">
        <v>75281.399999999994</v>
      </c>
      <c r="AD746" s="194">
        <v>325426.5</v>
      </c>
      <c r="AE746" s="194">
        <v>7182.3</v>
      </c>
      <c r="AF746" s="76">
        <v>0.1</v>
      </c>
      <c r="AG746" s="70">
        <v>3629.5000000000009</v>
      </c>
      <c r="AH746" s="31"/>
    </row>
    <row r="747" spans="3:34" x14ac:dyDescent="0.25">
      <c r="C747" s="72"/>
      <c r="D747" s="54">
        <v>738</v>
      </c>
      <c r="E747" s="70">
        <v>44493.59</v>
      </c>
      <c r="F747" s="75">
        <v>7604</v>
      </c>
      <c r="G747" s="75">
        <v>86412</v>
      </c>
      <c r="H747" s="194">
        <v>329056</v>
      </c>
      <c r="I747" s="194">
        <v>12341.76</v>
      </c>
      <c r="J747" s="75">
        <v>81753.173721494197</v>
      </c>
      <c r="K747" s="73"/>
      <c r="M747" s="72"/>
      <c r="N747" s="54">
        <v>738</v>
      </c>
      <c r="O747" s="70">
        <v>49102.004999999983</v>
      </c>
      <c r="P747" s="75">
        <v>14242</v>
      </c>
      <c r="Q747" s="75">
        <v>79774</v>
      </c>
      <c r="R747" s="194">
        <v>327311.35499999998</v>
      </c>
      <c r="S747" s="194">
        <v>5988.7000000000007</v>
      </c>
      <c r="T747" s="70">
        <v>1744.6450000000007</v>
      </c>
      <c r="U747" s="80">
        <v>81753.173721494197</v>
      </c>
      <c r="V747" s="73"/>
      <c r="X747" s="30"/>
      <c r="Y747" s="54">
        <v>738</v>
      </c>
      <c r="Z747" s="70">
        <v>31758.849999999988</v>
      </c>
      <c r="AA747" s="75">
        <v>10907</v>
      </c>
      <c r="AB747" s="75">
        <v>3951.05</v>
      </c>
      <c r="AC747" s="75">
        <v>75069.95</v>
      </c>
      <c r="AD747" s="194">
        <v>310930.55</v>
      </c>
      <c r="AE747" s="194">
        <v>6951.05</v>
      </c>
      <c r="AF747" s="76">
        <v>0.05</v>
      </c>
      <c r="AG747" s="70">
        <v>3817.4500000000012</v>
      </c>
      <c r="AH747" s="31"/>
    </row>
    <row r="748" spans="3:34" x14ac:dyDescent="0.25">
      <c r="C748" s="72"/>
      <c r="D748" s="54">
        <v>739</v>
      </c>
      <c r="E748" s="70">
        <v>44493.59</v>
      </c>
      <c r="F748" s="75">
        <v>7497</v>
      </c>
      <c r="G748" s="75">
        <v>86519</v>
      </c>
      <c r="H748" s="194">
        <v>329056</v>
      </c>
      <c r="I748" s="194">
        <v>12341.76</v>
      </c>
      <c r="J748" s="75">
        <v>81753.173721494197</v>
      </c>
      <c r="K748" s="73"/>
      <c r="M748" s="72"/>
      <c r="N748" s="54">
        <v>739</v>
      </c>
      <c r="O748" s="70">
        <v>35382.364999999991</v>
      </c>
      <c r="P748" s="75">
        <v>8946</v>
      </c>
      <c r="Q748" s="75">
        <v>80982</v>
      </c>
      <c r="R748" s="194">
        <v>313652.11499999999</v>
      </c>
      <c r="S748" s="194">
        <v>6049.1</v>
      </c>
      <c r="T748" s="70">
        <v>1095.8850000000004</v>
      </c>
      <c r="U748" s="80">
        <v>81753.173721494197</v>
      </c>
      <c r="V748" s="73"/>
      <c r="X748" s="30"/>
      <c r="Y748" s="54">
        <v>739</v>
      </c>
      <c r="Z748" s="70">
        <v>30982.150000000023</v>
      </c>
      <c r="AA748" s="75">
        <v>13496</v>
      </c>
      <c r="AB748" s="75">
        <v>6114.56</v>
      </c>
      <c r="AC748" s="75">
        <v>70317.440000000002</v>
      </c>
      <c r="AD748" s="194">
        <v>310024.40000000002</v>
      </c>
      <c r="AE748" s="194">
        <v>6821.6</v>
      </c>
      <c r="AF748" s="76">
        <v>0.08</v>
      </c>
      <c r="AG748" s="70">
        <v>4723.6000000000013</v>
      </c>
      <c r="AH748" s="31"/>
    </row>
    <row r="749" spans="3:34" x14ac:dyDescent="0.25">
      <c r="C749" s="72"/>
      <c r="D749" s="54">
        <v>740</v>
      </c>
      <c r="E749" s="70">
        <v>58351.91</v>
      </c>
      <c r="F749" s="75">
        <v>7866</v>
      </c>
      <c r="G749" s="75">
        <v>90238</v>
      </c>
      <c r="H749" s="194">
        <v>343364</v>
      </c>
      <c r="I749" s="194">
        <v>12791.44</v>
      </c>
      <c r="J749" s="75">
        <v>81753.173721494197</v>
      </c>
      <c r="K749" s="73"/>
      <c r="M749" s="72"/>
      <c r="N749" s="54">
        <v>740</v>
      </c>
      <c r="O749" s="70">
        <v>91451.114999999976</v>
      </c>
      <c r="P749" s="75">
        <v>13666</v>
      </c>
      <c r="Q749" s="75">
        <v>92613</v>
      </c>
      <c r="R749" s="194">
        <v>370302.41499999998</v>
      </c>
      <c r="S749" s="194">
        <v>6630.6500000000005</v>
      </c>
      <c r="T749" s="70">
        <v>1674.0850000000007</v>
      </c>
      <c r="U749" s="80">
        <v>81753.173721494197</v>
      </c>
      <c r="V749" s="73"/>
      <c r="X749" s="30"/>
      <c r="Y749" s="54">
        <v>740</v>
      </c>
      <c r="Z749" s="70">
        <v>60021.250000000015</v>
      </c>
      <c r="AA749" s="75">
        <v>10723</v>
      </c>
      <c r="AB749" s="75">
        <v>8738.1</v>
      </c>
      <c r="AC749" s="75">
        <v>78642.899999999994</v>
      </c>
      <c r="AD749" s="194">
        <v>339610.95</v>
      </c>
      <c r="AE749" s="194">
        <v>7369.05</v>
      </c>
      <c r="AF749" s="76">
        <v>0.1</v>
      </c>
      <c r="AG749" s="70">
        <v>3753.0500000000011</v>
      </c>
      <c r="AH749" s="31"/>
    </row>
    <row r="750" spans="3:34" x14ac:dyDescent="0.25">
      <c r="C750" s="72"/>
      <c r="D750" s="54">
        <v>741</v>
      </c>
      <c r="E750" s="70">
        <v>58351.91</v>
      </c>
      <c r="F750" s="75">
        <v>6769</v>
      </c>
      <c r="G750" s="75">
        <v>91335</v>
      </c>
      <c r="H750" s="194">
        <v>343364</v>
      </c>
      <c r="I750" s="194">
        <v>12791.44</v>
      </c>
      <c r="J750" s="75">
        <v>81753.173721494197</v>
      </c>
      <c r="K750" s="73"/>
      <c r="M750" s="72"/>
      <c r="N750" s="54">
        <v>741</v>
      </c>
      <c r="O750" s="70">
        <v>63241.130000000005</v>
      </c>
      <c r="P750" s="75">
        <v>13752</v>
      </c>
      <c r="Q750" s="75">
        <v>84352</v>
      </c>
      <c r="R750" s="194">
        <v>341679.38</v>
      </c>
      <c r="S750" s="194">
        <v>6217.6</v>
      </c>
      <c r="T750" s="70">
        <v>1684.6200000000008</v>
      </c>
      <c r="U750" s="80">
        <v>81753.173721494197</v>
      </c>
      <c r="V750" s="73"/>
      <c r="X750" s="30"/>
      <c r="Y750" s="54">
        <v>741</v>
      </c>
      <c r="Z750" s="70">
        <v>45464.05</v>
      </c>
      <c r="AA750" s="75">
        <v>12235</v>
      </c>
      <c r="AB750" s="75">
        <v>7360.29</v>
      </c>
      <c r="AC750" s="75">
        <v>74420.710000000006</v>
      </c>
      <c r="AD750" s="194">
        <v>324773.75</v>
      </c>
      <c r="AE750" s="194">
        <v>7089.05</v>
      </c>
      <c r="AF750" s="76">
        <v>0.09</v>
      </c>
      <c r="AG750" s="70">
        <v>4282.2500000000009</v>
      </c>
      <c r="AH750" s="31"/>
    </row>
    <row r="751" spans="3:34" x14ac:dyDescent="0.25">
      <c r="C751" s="72"/>
      <c r="D751" s="54">
        <v>742</v>
      </c>
      <c r="E751" s="70">
        <v>30635.27</v>
      </c>
      <c r="F751" s="75">
        <v>8042</v>
      </c>
      <c r="G751" s="75">
        <v>81886</v>
      </c>
      <c r="H751" s="194">
        <v>314748</v>
      </c>
      <c r="I751" s="194">
        <v>11892.08</v>
      </c>
      <c r="J751" s="75">
        <v>81753.173721494197</v>
      </c>
      <c r="K751" s="73"/>
      <c r="M751" s="72"/>
      <c r="N751" s="54">
        <v>742</v>
      </c>
      <c r="O751" s="70">
        <v>63460.152500000011</v>
      </c>
      <c r="P751" s="75">
        <v>10731</v>
      </c>
      <c r="Q751" s="75">
        <v>87373</v>
      </c>
      <c r="R751" s="194">
        <v>342049.45250000001</v>
      </c>
      <c r="S751" s="194">
        <v>6368.6500000000005</v>
      </c>
      <c r="T751" s="70">
        <v>1314.5475000000006</v>
      </c>
      <c r="U751" s="80">
        <v>81753.173721494197</v>
      </c>
      <c r="V751" s="73"/>
      <c r="X751" s="30"/>
      <c r="Y751" s="54">
        <v>742</v>
      </c>
      <c r="Z751" s="70">
        <v>31262.05000000001</v>
      </c>
      <c r="AA751" s="75">
        <v>12563</v>
      </c>
      <c r="AB751" s="75">
        <v>5415.55</v>
      </c>
      <c r="AC751" s="75">
        <v>71949.45</v>
      </c>
      <c r="AD751" s="194">
        <v>310350.95</v>
      </c>
      <c r="AE751" s="194">
        <v>6868.25</v>
      </c>
      <c r="AF751" s="76">
        <v>7.0000000000000007E-2</v>
      </c>
      <c r="AG751" s="70">
        <v>4397.0500000000011</v>
      </c>
      <c r="AH751" s="31"/>
    </row>
    <row r="752" spans="3:34" x14ac:dyDescent="0.25">
      <c r="C752" s="72"/>
      <c r="D752" s="54">
        <v>743</v>
      </c>
      <c r="E752" s="70">
        <v>30635.27</v>
      </c>
      <c r="F752" s="75">
        <v>7098</v>
      </c>
      <c r="G752" s="75">
        <v>82830</v>
      </c>
      <c r="H752" s="194">
        <v>314748</v>
      </c>
      <c r="I752" s="194">
        <v>11892.08</v>
      </c>
      <c r="J752" s="75">
        <v>81753.173721494197</v>
      </c>
      <c r="K752" s="73"/>
      <c r="M752" s="72"/>
      <c r="N752" s="54">
        <v>743</v>
      </c>
      <c r="O752" s="70">
        <v>63183.999999999978</v>
      </c>
      <c r="P752" s="75">
        <v>14540</v>
      </c>
      <c r="Q752" s="75">
        <v>83564</v>
      </c>
      <c r="R752" s="194">
        <v>341582.85</v>
      </c>
      <c r="S752" s="194">
        <v>6178.2</v>
      </c>
      <c r="T752" s="70">
        <v>1781.1500000000008</v>
      </c>
      <c r="U752" s="80">
        <v>81753.173721494197</v>
      </c>
      <c r="V752" s="73"/>
      <c r="X752" s="30"/>
      <c r="Y752" s="54">
        <v>743</v>
      </c>
      <c r="Z752" s="70">
        <v>45185.650000000009</v>
      </c>
      <c r="AA752" s="75">
        <v>13163</v>
      </c>
      <c r="AB752" s="75">
        <v>4851.1799999999994</v>
      </c>
      <c r="AC752" s="75">
        <v>76001.820000000007</v>
      </c>
      <c r="AD752" s="194">
        <v>324448.95</v>
      </c>
      <c r="AE752" s="194">
        <v>7042.65</v>
      </c>
      <c r="AF752" s="76">
        <v>0.06</v>
      </c>
      <c r="AG752" s="70">
        <v>4607.0500000000011</v>
      </c>
      <c r="AH752" s="31"/>
    </row>
    <row r="753" spans="3:34" x14ac:dyDescent="0.25">
      <c r="C753" s="72"/>
      <c r="D753" s="54">
        <v>744</v>
      </c>
      <c r="E753" s="70">
        <v>30635.27</v>
      </c>
      <c r="F753" s="75">
        <v>8864</v>
      </c>
      <c r="G753" s="75">
        <v>81064</v>
      </c>
      <c r="H753" s="194">
        <v>314748</v>
      </c>
      <c r="I753" s="194">
        <v>11892.08</v>
      </c>
      <c r="J753" s="75">
        <v>81753.173721494197</v>
      </c>
      <c r="K753" s="73"/>
      <c r="M753" s="72"/>
      <c r="N753" s="54">
        <v>744</v>
      </c>
      <c r="O753" s="70">
        <v>91444.952499999999</v>
      </c>
      <c r="P753" s="75">
        <v>13751</v>
      </c>
      <c r="Q753" s="75">
        <v>92528</v>
      </c>
      <c r="R753" s="194">
        <v>370292.0025</v>
      </c>
      <c r="S753" s="194">
        <v>6626.4000000000005</v>
      </c>
      <c r="T753" s="70">
        <v>1684.4975000000006</v>
      </c>
      <c r="U753" s="80">
        <v>81753.173721494197</v>
      </c>
      <c r="V753" s="73"/>
      <c r="X753" s="30"/>
      <c r="Y753" s="54">
        <v>744</v>
      </c>
      <c r="Z753" s="70">
        <v>32027.95</v>
      </c>
      <c r="AA753" s="75">
        <v>10010</v>
      </c>
      <c r="AB753" s="75">
        <v>7192.62</v>
      </c>
      <c r="AC753" s="75">
        <v>72725.38</v>
      </c>
      <c r="AD753" s="194">
        <v>311244.5</v>
      </c>
      <c r="AE753" s="194">
        <v>6995.9</v>
      </c>
      <c r="AF753" s="76">
        <v>0.09</v>
      </c>
      <c r="AG753" s="70">
        <v>3503.5000000000009</v>
      </c>
      <c r="AH753" s="31"/>
    </row>
    <row r="754" spans="3:34" x14ac:dyDescent="0.25">
      <c r="C754" s="72"/>
      <c r="D754" s="54">
        <v>745</v>
      </c>
      <c r="E754" s="70">
        <v>58351.91</v>
      </c>
      <c r="F754" s="75">
        <v>6781</v>
      </c>
      <c r="G754" s="75">
        <v>91323</v>
      </c>
      <c r="H754" s="194">
        <v>343364</v>
      </c>
      <c r="I754" s="194">
        <v>12791.44</v>
      </c>
      <c r="J754" s="75">
        <v>81753.173721494197</v>
      </c>
      <c r="K754" s="73"/>
      <c r="M754" s="72"/>
      <c r="N754" s="54">
        <v>745</v>
      </c>
      <c r="O754" s="70">
        <v>49328.857499999969</v>
      </c>
      <c r="P754" s="75">
        <v>11113</v>
      </c>
      <c r="Q754" s="75">
        <v>82903</v>
      </c>
      <c r="R754" s="194">
        <v>327694.65749999997</v>
      </c>
      <c r="S754" s="194">
        <v>6145.1500000000005</v>
      </c>
      <c r="T754" s="70">
        <v>1361.3425000000007</v>
      </c>
      <c r="U754" s="80">
        <v>81753.173721494197</v>
      </c>
      <c r="V754" s="73"/>
      <c r="X754" s="30"/>
      <c r="Y754" s="54">
        <v>745</v>
      </c>
      <c r="Z754" s="70">
        <v>59664.250000000015</v>
      </c>
      <c r="AA754" s="75">
        <v>11913</v>
      </c>
      <c r="AB754" s="75">
        <v>4309.55</v>
      </c>
      <c r="AC754" s="75">
        <v>81881.45</v>
      </c>
      <c r="AD754" s="194">
        <v>339194.45</v>
      </c>
      <c r="AE754" s="194">
        <v>7309.55</v>
      </c>
      <c r="AF754" s="76">
        <v>0.05</v>
      </c>
      <c r="AG754" s="70">
        <v>4169.5500000000011</v>
      </c>
      <c r="AH754" s="31"/>
    </row>
    <row r="755" spans="3:34" x14ac:dyDescent="0.25">
      <c r="C755" s="72"/>
      <c r="D755" s="54">
        <v>746</v>
      </c>
      <c r="E755" s="70">
        <v>30635.27</v>
      </c>
      <c r="F755" s="75">
        <v>7236</v>
      </c>
      <c r="G755" s="75">
        <v>82692</v>
      </c>
      <c r="H755" s="194">
        <v>314748</v>
      </c>
      <c r="I755" s="194">
        <v>11892.08</v>
      </c>
      <c r="J755" s="75">
        <v>81753.173721494197</v>
      </c>
      <c r="K755" s="73"/>
      <c r="M755" s="72"/>
      <c r="N755" s="54">
        <v>746</v>
      </c>
      <c r="O755" s="70">
        <v>35183.424999999974</v>
      </c>
      <c r="P755" s="75">
        <v>11690</v>
      </c>
      <c r="Q755" s="75">
        <v>78238</v>
      </c>
      <c r="R755" s="194">
        <v>313315.97499999998</v>
      </c>
      <c r="S755" s="194">
        <v>5911.9</v>
      </c>
      <c r="T755" s="70">
        <v>1432.0250000000005</v>
      </c>
      <c r="U755" s="80">
        <v>81753.173721494197</v>
      </c>
      <c r="V755" s="73"/>
      <c r="X755" s="30"/>
      <c r="Y755" s="54">
        <v>746</v>
      </c>
      <c r="Z755" s="70">
        <v>87611.500000000015</v>
      </c>
      <c r="AA755" s="75">
        <v>12768</v>
      </c>
      <c r="AB755" s="75">
        <v>9351.1</v>
      </c>
      <c r="AC755" s="75">
        <v>84159.9</v>
      </c>
      <c r="AD755" s="194">
        <v>367507.7</v>
      </c>
      <c r="AE755" s="194">
        <v>7675.55</v>
      </c>
      <c r="AF755" s="76">
        <v>0.1</v>
      </c>
      <c r="AG755" s="70">
        <v>4468.8000000000011</v>
      </c>
      <c r="AH755" s="31"/>
    </row>
    <row r="756" spans="3:34" x14ac:dyDescent="0.25">
      <c r="C756" s="72"/>
      <c r="D756" s="54">
        <v>747</v>
      </c>
      <c r="E756" s="70">
        <v>86065.16</v>
      </c>
      <c r="F756" s="75">
        <v>8453</v>
      </c>
      <c r="G756" s="75">
        <v>97826</v>
      </c>
      <c r="H756" s="194">
        <v>371976.5</v>
      </c>
      <c r="I756" s="194">
        <v>13690.69</v>
      </c>
      <c r="J756" s="75">
        <v>81753.173721494197</v>
      </c>
      <c r="K756" s="73"/>
      <c r="M756" s="72"/>
      <c r="N756" s="54">
        <v>747</v>
      </c>
      <c r="O756" s="70">
        <v>49171.605000000018</v>
      </c>
      <c r="P756" s="75">
        <v>13282</v>
      </c>
      <c r="Q756" s="75">
        <v>80734</v>
      </c>
      <c r="R756" s="194">
        <v>327428.95500000002</v>
      </c>
      <c r="S756" s="194">
        <v>6036.7000000000007</v>
      </c>
      <c r="T756" s="70">
        <v>1627.0450000000008</v>
      </c>
      <c r="U756" s="80">
        <v>81753.173721494197</v>
      </c>
      <c r="V756" s="73"/>
      <c r="X756" s="30"/>
      <c r="Y756" s="54">
        <v>747</v>
      </c>
      <c r="Z756" s="70">
        <v>32310.849999999988</v>
      </c>
      <c r="AA756" s="75">
        <v>9067</v>
      </c>
      <c r="AB756" s="75">
        <v>5660.27</v>
      </c>
      <c r="AC756" s="75">
        <v>75200.73</v>
      </c>
      <c r="AD756" s="194">
        <v>311574.55</v>
      </c>
      <c r="AE756" s="194">
        <v>7043.05</v>
      </c>
      <c r="AF756" s="76">
        <v>7.0000000000000007E-2</v>
      </c>
      <c r="AG756" s="70">
        <v>3173.4500000000007</v>
      </c>
      <c r="AH756" s="31"/>
    </row>
    <row r="757" spans="3:34" x14ac:dyDescent="0.25">
      <c r="C757" s="72"/>
      <c r="D757" s="54">
        <v>748</v>
      </c>
      <c r="E757" s="70">
        <v>30635.27</v>
      </c>
      <c r="F757" s="75">
        <v>8137</v>
      </c>
      <c r="G757" s="75">
        <v>81791</v>
      </c>
      <c r="H757" s="194">
        <v>314748</v>
      </c>
      <c r="I757" s="194">
        <v>11892.08</v>
      </c>
      <c r="J757" s="75">
        <v>81753.173721494197</v>
      </c>
      <c r="K757" s="73"/>
      <c r="M757" s="72"/>
      <c r="N757" s="54">
        <v>748</v>
      </c>
      <c r="O757" s="70">
        <v>63396.715000000011</v>
      </c>
      <c r="P757" s="75">
        <v>11606</v>
      </c>
      <c r="Q757" s="75">
        <v>86498</v>
      </c>
      <c r="R757" s="194">
        <v>341942.26500000001</v>
      </c>
      <c r="S757" s="194">
        <v>6324.9000000000005</v>
      </c>
      <c r="T757" s="70">
        <v>1421.7350000000006</v>
      </c>
      <c r="U757" s="80">
        <v>81753.173721494197</v>
      </c>
      <c r="V757" s="73"/>
      <c r="X757" s="30"/>
      <c r="Y757" s="54">
        <v>748</v>
      </c>
      <c r="Z757" s="70">
        <v>46078.44999999999</v>
      </c>
      <c r="AA757" s="75">
        <v>10187</v>
      </c>
      <c r="AB757" s="75">
        <v>8382.9</v>
      </c>
      <c r="AC757" s="75">
        <v>75446.100000000006</v>
      </c>
      <c r="AD757" s="194">
        <v>325490.55</v>
      </c>
      <c r="AE757" s="194">
        <v>7191.45</v>
      </c>
      <c r="AF757" s="76">
        <v>0.1</v>
      </c>
      <c r="AG757" s="70">
        <v>3565.4500000000007</v>
      </c>
      <c r="AH757" s="31"/>
    </row>
    <row r="758" spans="3:34" x14ac:dyDescent="0.25">
      <c r="C758" s="72"/>
      <c r="D758" s="54">
        <v>749</v>
      </c>
      <c r="E758" s="70">
        <v>44493.59</v>
      </c>
      <c r="F758" s="75">
        <v>8416</v>
      </c>
      <c r="G758" s="75">
        <v>85600</v>
      </c>
      <c r="H758" s="194">
        <v>329056</v>
      </c>
      <c r="I758" s="194">
        <v>12341.76</v>
      </c>
      <c r="J758" s="75">
        <v>81753.173721494197</v>
      </c>
      <c r="K758" s="73"/>
      <c r="M758" s="72"/>
      <c r="N758" s="54">
        <v>749</v>
      </c>
      <c r="O758" s="70">
        <v>35183.424999999974</v>
      </c>
      <c r="P758" s="75">
        <v>11690</v>
      </c>
      <c r="Q758" s="75">
        <v>78238</v>
      </c>
      <c r="R758" s="194">
        <v>313315.97499999998</v>
      </c>
      <c r="S758" s="194">
        <v>5911.9</v>
      </c>
      <c r="T758" s="70">
        <v>1432.0250000000005</v>
      </c>
      <c r="U758" s="80">
        <v>81753.173721494197</v>
      </c>
      <c r="V758" s="73"/>
      <c r="X758" s="30"/>
      <c r="Y758" s="54">
        <v>749</v>
      </c>
      <c r="Z758" s="70">
        <v>59672.049999999988</v>
      </c>
      <c r="AA758" s="75">
        <v>11887</v>
      </c>
      <c r="AB758" s="75">
        <v>6035.1900000000005</v>
      </c>
      <c r="AC758" s="75">
        <v>80181.81</v>
      </c>
      <c r="AD758" s="194">
        <v>339203.55</v>
      </c>
      <c r="AE758" s="194">
        <v>7310.85</v>
      </c>
      <c r="AF758" s="76">
        <v>7.0000000000000007E-2</v>
      </c>
      <c r="AG758" s="70">
        <v>4160.4500000000007</v>
      </c>
      <c r="AH758" s="31"/>
    </row>
    <row r="759" spans="3:34" x14ac:dyDescent="0.25">
      <c r="C759" s="72"/>
      <c r="D759" s="54">
        <v>750</v>
      </c>
      <c r="E759" s="70">
        <v>30635.27</v>
      </c>
      <c r="F759" s="75">
        <v>4466</v>
      </c>
      <c r="G759" s="75">
        <v>85462</v>
      </c>
      <c r="H759" s="194">
        <v>314748</v>
      </c>
      <c r="I759" s="194">
        <v>11892.08</v>
      </c>
      <c r="J759" s="75">
        <v>81753.173721494197</v>
      </c>
      <c r="K759" s="73"/>
      <c r="M759" s="72"/>
      <c r="N759" s="54">
        <v>750</v>
      </c>
      <c r="O759" s="70">
        <v>35051.910000000011</v>
      </c>
      <c r="P759" s="75">
        <v>13504</v>
      </c>
      <c r="Q759" s="75">
        <v>76424</v>
      </c>
      <c r="R759" s="194">
        <v>313093.76000000001</v>
      </c>
      <c r="S759" s="194">
        <v>5821.2000000000007</v>
      </c>
      <c r="T759" s="70">
        <v>1654.2400000000007</v>
      </c>
      <c r="U759" s="80">
        <v>81753.173721494197</v>
      </c>
      <c r="V759" s="73"/>
      <c r="X759" s="30"/>
      <c r="Y759" s="54">
        <v>750</v>
      </c>
      <c r="Z759" s="70">
        <v>45517.150000000009</v>
      </c>
      <c r="AA759" s="75">
        <v>12058</v>
      </c>
      <c r="AB759" s="75">
        <v>4917.4799999999996</v>
      </c>
      <c r="AC759" s="75">
        <v>77040.52</v>
      </c>
      <c r="AD759" s="194">
        <v>324835.7</v>
      </c>
      <c r="AE759" s="194">
        <v>7097.9000000000005</v>
      </c>
      <c r="AF759" s="76">
        <v>0.06</v>
      </c>
      <c r="AG759" s="70">
        <v>4220.3000000000011</v>
      </c>
      <c r="AH759" s="31"/>
    </row>
    <row r="760" spans="3:34" x14ac:dyDescent="0.25">
      <c r="C760" s="72"/>
      <c r="D760" s="54">
        <v>751</v>
      </c>
      <c r="E760" s="70">
        <v>58351.91</v>
      </c>
      <c r="F760" s="75">
        <v>4996</v>
      </c>
      <c r="G760" s="75">
        <v>93108</v>
      </c>
      <c r="H760" s="194">
        <v>343364</v>
      </c>
      <c r="I760" s="194">
        <v>12791.44</v>
      </c>
      <c r="J760" s="75">
        <v>81753.173721494197</v>
      </c>
      <c r="K760" s="73"/>
      <c r="M760" s="72"/>
      <c r="N760" s="54">
        <v>751</v>
      </c>
      <c r="O760" s="70">
        <v>49381.855000000018</v>
      </c>
      <c r="P760" s="75">
        <v>10382</v>
      </c>
      <c r="Q760" s="75">
        <v>83634</v>
      </c>
      <c r="R760" s="194">
        <v>327784.20500000002</v>
      </c>
      <c r="S760" s="194">
        <v>6181.7</v>
      </c>
      <c r="T760" s="70">
        <v>1271.7950000000005</v>
      </c>
      <c r="U760" s="80">
        <v>81753.173721494197</v>
      </c>
      <c r="V760" s="73"/>
      <c r="X760" s="30"/>
      <c r="Y760" s="54">
        <v>751</v>
      </c>
      <c r="Z760" s="70">
        <v>31773.249999999978</v>
      </c>
      <c r="AA760" s="75">
        <v>10859</v>
      </c>
      <c r="AB760" s="75">
        <v>3953.4500000000003</v>
      </c>
      <c r="AC760" s="75">
        <v>75115.55</v>
      </c>
      <c r="AD760" s="194">
        <v>310947.34999999998</v>
      </c>
      <c r="AE760" s="194">
        <v>6953.4500000000007</v>
      </c>
      <c r="AF760" s="76">
        <v>0.05</v>
      </c>
      <c r="AG760" s="70">
        <v>3800.650000000001</v>
      </c>
      <c r="AH760" s="31"/>
    </row>
    <row r="761" spans="3:34" x14ac:dyDescent="0.25">
      <c r="C761" s="72"/>
      <c r="D761" s="54">
        <v>752</v>
      </c>
      <c r="E761" s="70">
        <v>30635.27</v>
      </c>
      <c r="F761" s="75">
        <v>8881</v>
      </c>
      <c r="G761" s="75">
        <v>81047</v>
      </c>
      <c r="H761" s="194">
        <v>314748</v>
      </c>
      <c r="I761" s="194">
        <v>11892.08</v>
      </c>
      <c r="J761" s="75">
        <v>81753.173721494197</v>
      </c>
      <c r="K761" s="73"/>
      <c r="M761" s="72"/>
      <c r="N761" s="54">
        <v>752</v>
      </c>
      <c r="O761" s="70">
        <v>35310.372499999976</v>
      </c>
      <c r="P761" s="75">
        <v>9939</v>
      </c>
      <c r="Q761" s="75">
        <v>79989</v>
      </c>
      <c r="R761" s="194">
        <v>313530.47249999997</v>
      </c>
      <c r="S761" s="194">
        <v>5999.4500000000007</v>
      </c>
      <c r="T761" s="70">
        <v>1217.5275000000006</v>
      </c>
      <c r="U761" s="80">
        <v>81753.173721494197</v>
      </c>
      <c r="V761" s="73"/>
      <c r="X761" s="30"/>
      <c r="Y761" s="54">
        <v>752</v>
      </c>
      <c r="Z761" s="70">
        <v>45266.650000000009</v>
      </c>
      <c r="AA761" s="75">
        <v>12893</v>
      </c>
      <c r="AB761" s="75">
        <v>4867.38</v>
      </c>
      <c r="AC761" s="75">
        <v>76255.62</v>
      </c>
      <c r="AD761" s="194">
        <v>324543.45</v>
      </c>
      <c r="AE761" s="194">
        <v>7056.15</v>
      </c>
      <c r="AF761" s="76">
        <v>0.06</v>
      </c>
      <c r="AG761" s="70">
        <v>4512.5500000000011</v>
      </c>
      <c r="AH761" s="31"/>
    </row>
    <row r="762" spans="3:34" x14ac:dyDescent="0.25">
      <c r="C762" s="72"/>
      <c r="D762" s="54">
        <v>753</v>
      </c>
      <c r="E762" s="70">
        <v>30635.27</v>
      </c>
      <c r="F762" s="75">
        <v>6352</v>
      </c>
      <c r="G762" s="75">
        <v>83576</v>
      </c>
      <c r="H762" s="194">
        <v>314748</v>
      </c>
      <c r="I762" s="194">
        <v>11892.08</v>
      </c>
      <c r="J762" s="75">
        <v>81753.173721494197</v>
      </c>
      <c r="K762" s="73"/>
      <c r="M762" s="72"/>
      <c r="N762" s="54">
        <v>753</v>
      </c>
      <c r="O762" s="70">
        <v>49391.859999999986</v>
      </c>
      <c r="P762" s="75">
        <v>10244</v>
      </c>
      <c r="Q762" s="75">
        <v>83772</v>
      </c>
      <c r="R762" s="194">
        <v>327801.11</v>
      </c>
      <c r="S762" s="194">
        <v>6188.6</v>
      </c>
      <c r="T762" s="70">
        <v>1254.8900000000006</v>
      </c>
      <c r="U762" s="80">
        <v>81753.173721494197</v>
      </c>
      <c r="V762" s="73"/>
      <c r="X762" s="30"/>
      <c r="Y762" s="54">
        <v>753</v>
      </c>
      <c r="Z762" s="70">
        <v>58825.449999999975</v>
      </c>
      <c r="AA762" s="75">
        <v>14709</v>
      </c>
      <c r="AB762" s="75">
        <v>7505.5499999999993</v>
      </c>
      <c r="AC762" s="75">
        <v>75889.45</v>
      </c>
      <c r="AD762" s="194">
        <v>338215.85</v>
      </c>
      <c r="AE762" s="194">
        <v>7169.75</v>
      </c>
      <c r="AF762" s="76">
        <v>0.09</v>
      </c>
      <c r="AG762" s="70">
        <v>5148.1500000000015</v>
      </c>
      <c r="AH762" s="31"/>
    </row>
    <row r="763" spans="3:34" x14ac:dyDescent="0.25">
      <c r="C763" s="72"/>
      <c r="D763" s="54">
        <v>754</v>
      </c>
      <c r="E763" s="70">
        <v>58351.91</v>
      </c>
      <c r="F763" s="75">
        <v>6773</v>
      </c>
      <c r="G763" s="75">
        <v>91331</v>
      </c>
      <c r="H763" s="194">
        <v>343364</v>
      </c>
      <c r="I763" s="194">
        <v>12791.44</v>
      </c>
      <c r="J763" s="75">
        <v>81753.173721494197</v>
      </c>
      <c r="K763" s="73"/>
      <c r="M763" s="72"/>
      <c r="N763" s="54">
        <v>754</v>
      </c>
      <c r="O763" s="70">
        <v>63387.362500000025</v>
      </c>
      <c r="P763" s="75">
        <v>11735</v>
      </c>
      <c r="Q763" s="75">
        <v>86369</v>
      </c>
      <c r="R763" s="194">
        <v>341926.46250000002</v>
      </c>
      <c r="S763" s="194">
        <v>6318.45</v>
      </c>
      <c r="T763" s="70">
        <v>1437.5375000000006</v>
      </c>
      <c r="U763" s="80">
        <v>81753.173721494197</v>
      </c>
      <c r="V763" s="73"/>
      <c r="X763" s="30"/>
      <c r="Y763" s="54">
        <v>754</v>
      </c>
      <c r="Z763" s="70">
        <v>59132.949999999975</v>
      </c>
      <c r="AA763" s="75">
        <v>13684</v>
      </c>
      <c r="AB763" s="75">
        <v>4221</v>
      </c>
      <c r="AC763" s="75">
        <v>80199</v>
      </c>
      <c r="AD763" s="194">
        <v>338574.6</v>
      </c>
      <c r="AE763" s="194">
        <v>7221</v>
      </c>
      <c r="AF763" s="76">
        <v>0.05</v>
      </c>
      <c r="AG763" s="70">
        <v>4789.4000000000015</v>
      </c>
      <c r="AH763" s="31"/>
    </row>
    <row r="764" spans="3:34" x14ac:dyDescent="0.25">
      <c r="C764" s="72"/>
      <c r="D764" s="54">
        <v>755</v>
      </c>
      <c r="E764" s="70">
        <v>58351.91</v>
      </c>
      <c r="F764" s="75">
        <v>9732</v>
      </c>
      <c r="G764" s="75">
        <v>88372</v>
      </c>
      <c r="H764" s="194">
        <v>343364</v>
      </c>
      <c r="I764" s="194">
        <v>12791.44</v>
      </c>
      <c r="J764" s="75">
        <v>81753.173721494197</v>
      </c>
      <c r="K764" s="73"/>
      <c r="M764" s="72"/>
      <c r="N764" s="54">
        <v>755</v>
      </c>
      <c r="O764" s="70">
        <v>49231.635000000009</v>
      </c>
      <c r="P764" s="75">
        <v>12454</v>
      </c>
      <c r="Q764" s="75">
        <v>81562</v>
      </c>
      <c r="R764" s="194">
        <v>327530.38500000001</v>
      </c>
      <c r="S764" s="194">
        <v>6078.1</v>
      </c>
      <c r="T764" s="70">
        <v>1525.6150000000007</v>
      </c>
      <c r="U764" s="80">
        <v>81753.173721494197</v>
      </c>
      <c r="V764" s="73"/>
      <c r="X764" s="30"/>
      <c r="Y764" s="54">
        <v>755</v>
      </c>
      <c r="Z764" s="70">
        <v>45196.750000000022</v>
      </c>
      <c r="AA764" s="75">
        <v>13126</v>
      </c>
      <c r="AB764" s="75">
        <v>7280.0999999999995</v>
      </c>
      <c r="AC764" s="75">
        <v>73609.899999999994</v>
      </c>
      <c r="AD764" s="194">
        <v>324461.90000000002</v>
      </c>
      <c r="AE764" s="194">
        <v>7044.5</v>
      </c>
      <c r="AF764" s="76">
        <v>0.09</v>
      </c>
      <c r="AG764" s="70">
        <v>4594.1000000000013</v>
      </c>
      <c r="AH764" s="31"/>
    </row>
    <row r="765" spans="3:34" x14ac:dyDescent="0.25">
      <c r="C765" s="72"/>
      <c r="D765" s="54">
        <v>756</v>
      </c>
      <c r="E765" s="70">
        <v>58351.91</v>
      </c>
      <c r="F765" s="75">
        <v>5913</v>
      </c>
      <c r="G765" s="75">
        <v>92191</v>
      </c>
      <c r="H765" s="194">
        <v>343364</v>
      </c>
      <c r="I765" s="194">
        <v>12791.44</v>
      </c>
      <c r="J765" s="75">
        <v>81753.173721494197</v>
      </c>
      <c r="K765" s="73"/>
      <c r="M765" s="72"/>
      <c r="N765" s="54">
        <v>756</v>
      </c>
      <c r="O765" s="70">
        <v>91584.587499999994</v>
      </c>
      <c r="P765" s="75">
        <v>11825</v>
      </c>
      <c r="Q765" s="75">
        <v>94454</v>
      </c>
      <c r="R765" s="194">
        <v>370527.9375</v>
      </c>
      <c r="S765" s="194">
        <v>6722.7</v>
      </c>
      <c r="T765" s="70">
        <v>1448.5625000000007</v>
      </c>
      <c r="U765" s="80">
        <v>81753.173721494197</v>
      </c>
      <c r="V765" s="73"/>
      <c r="X765" s="30"/>
      <c r="Y765" s="54">
        <v>756</v>
      </c>
      <c r="Z765" s="70">
        <v>30964.150000000023</v>
      </c>
      <c r="AA765" s="75">
        <v>13556</v>
      </c>
      <c r="AB765" s="75">
        <v>4582.32</v>
      </c>
      <c r="AC765" s="75">
        <v>71789.679999999993</v>
      </c>
      <c r="AD765" s="194">
        <v>310003.40000000002</v>
      </c>
      <c r="AE765" s="194">
        <v>6818.6</v>
      </c>
      <c r="AF765" s="76">
        <v>0.06</v>
      </c>
      <c r="AG765" s="70">
        <v>4744.6000000000013</v>
      </c>
      <c r="AH765" s="31"/>
    </row>
    <row r="766" spans="3:34" x14ac:dyDescent="0.25">
      <c r="C766" s="72"/>
      <c r="D766" s="54">
        <v>757</v>
      </c>
      <c r="E766" s="70">
        <v>44493.59</v>
      </c>
      <c r="F766" s="75">
        <v>8650</v>
      </c>
      <c r="G766" s="75">
        <v>85366</v>
      </c>
      <c r="H766" s="194">
        <v>329056</v>
      </c>
      <c r="I766" s="194">
        <v>12341.76</v>
      </c>
      <c r="J766" s="75">
        <v>81753.173721494197</v>
      </c>
      <c r="K766" s="73"/>
      <c r="M766" s="72"/>
      <c r="N766" s="54">
        <v>757</v>
      </c>
      <c r="O766" s="70">
        <v>49186.684999999998</v>
      </c>
      <c r="P766" s="75">
        <v>13074</v>
      </c>
      <c r="Q766" s="75">
        <v>80942</v>
      </c>
      <c r="R766" s="194">
        <v>327454.435</v>
      </c>
      <c r="S766" s="194">
        <v>6047.1</v>
      </c>
      <c r="T766" s="70">
        <v>1601.5650000000007</v>
      </c>
      <c r="U766" s="80">
        <v>81753.173721494197</v>
      </c>
      <c r="V766" s="73"/>
      <c r="X766" s="30"/>
      <c r="Y766" s="54">
        <v>757</v>
      </c>
      <c r="Z766" s="70">
        <v>31761.55000000001</v>
      </c>
      <c r="AA766" s="75">
        <v>10898</v>
      </c>
      <c r="AB766" s="75">
        <v>4741.8</v>
      </c>
      <c r="AC766" s="75">
        <v>74288.2</v>
      </c>
      <c r="AD766" s="194">
        <v>310933.7</v>
      </c>
      <c r="AE766" s="194">
        <v>6951.5</v>
      </c>
      <c r="AF766" s="76">
        <v>0.06</v>
      </c>
      <c r="AG766" s="70">
        <v>3814.3000000000011</v>
      </c>
      <c r="AH766" s="31"/>
    </row>
    <row r="767" spans="3:34" x14ac:dyDescent="0.25">
      <c r="C767" s="72"/>
      <c r="D767" s="54">
        <v>758</v>
      </c>
      <c r="E767" s="70">
        <v>30635.27</v>
      </c>
      <c r="F767" s="75">
        <v>9047</v>
      </c>
      <c r="G767" s="75">
        <v>80881</v>
      </c>
      <c r="H767" s="194">
        <v>314748</v>
      </c>
      <c r="I767" s="194">
        <v>11892.08</v>
      </c>
      <c r="J767" s="75">
        <v>81753.173721494197</v>
      </c>
      <c r="K767" s="73"/>
      <c r="M767" s="72"/>
      <c r="N767" s="54">
        <v>758</v>
      </c>
      <c r="O767" s="70">
        <v>35057.637499999997</v>
      </c>
      <c r="P767" s="75">
        <v>13425</v>
      </c>
      <c r="Q767" s="75">
        <v>76503</v>
      </c>
      <c r="R767" s="194">
        <v>313103.4375</v>
      </c>
      <c r="S767" s="194">
        <v>5825.15</v>
      </c>
      <c r="T767" s="70">
        <v>1644.5625000000007</v>
      </c>
      <c r="U767" s="80">
        <v>81753.173721494197</v>
      </c>
      <c r="V767" s="73"/>
      <c r="X767" s="30"/>
      <c r="Y767" s="54">
        <v>758</v>
      </c>
      <c r="Z767" s="70">
        <v>60324.85000000002</v>
      </c>
      <c r="AA767" s="75">
        <v>9711</v>
      </c>
      <c r="AB767" s="75">
        <v>8839.3000000000011</v>
      </c>
      <c r="AC767" s="75">
        <v>79553.7</v>
      </c>
      <c r="AD767" s="194">
        <v>339965.15</v>
      </c>
      <c r="AE767" s="194">
        <v>7419.6500000000005</v>
      </c>
      <c r="AF767" s="76">
        <v>0.1</v>
      </c>
      <c r="AG767" s="70">
        <v>3398.8500000000008</v>
      </c>
      <c r="AH767" s="31"/>
    </row>
    <row r="768" spans="3:34" x14ac:dyDescent="0.25">
      <c r="C768" s="72"/>
      <c r="D768" s="54">
        <v>759</v>
      </c>
      <c r="E768" s="70">
        <v>44493.59</v>
      </c>
      <c r="F768" s="75">
        <v>4688</v>
      </c>
      <c r="G768" s="75">
        <v>89328</v>
      </c>
      <c r="H768" s="194">
        <v>329056</v>
      </c>
      <c r="I768" s="194">
        <v>12341.76</v>
      </c>
      <c r="J768" s="75">
        <v>81753.173721494197</v>
      </c>
      <c r="K768" s="73"/>
      <c r="M768" s="72"/>
      <c r="N768" s="54">
        <v>759</v>
      </c>
      <c r="O768" s="70">
        <v>63462.255000000005</v>
      </c>
      <c r="P768" s="75">
        <v>10702</v>
      </c>
      <c r="Q768" s="75">
        <v>87402</v>
      </c>
      <c r="R768" s="194">
        <v>342053.005</v>
      </c>
      <c r="S768" s="194">
        <v>6370.1</v>
      </c>
      <c r="T768" s="70">
        <v>1310.9950000000006</v>
      </c>
      <c r="U768" s="80">
        <v>81753.173721494197</v>
      </c>
      <c r="V768" s="73"/>
      <c r="X768" s="30"/>
      <c r="Y768" s="54">
        <v>759</v>
      </c>
      <c r="Z768" s="70">
        <v>60000.250000000015</v>
      </c>
      <c r="AA768" s="75">
        <v>10793</v>
      </c>
      <c r="AB768" s="75">
        <v>6984.88</v>
      </c>
      <c r="AC768" s="75">
        <v>80326.12</v>
      </c>
      <c r="AD768" s="194">
        <v>339586.45</v>
      </c>
      <c r="AE768" s="194">
        <v>7365.55</v>
      </c>
      <c r="AF768" s="76">
        <v>0.08</v>
      </c>
      <c r="AG768" s="70">
        <v>3777.5500000000011</v>
      </c>
      <c r="AH768" s="31"/>
    </row>
    <row r="769" spans="3:34" x14ac:dyDescent="0.25">
      <c r="C769" s="72"/>
      <c r="D769" s="54">
        <v>760</v>
      </c>
      <c r="E769" s="70">
        <v>44493.59</v>
      </c>
      <c r="F769" s="75">
        <v>8553</v>
      </c>
      <c r="G769" s="75">
        <v>85463</v>
      </c>
      <c r="H769" s="194">
        <v>329056</v>
      </c>
      <c r="I769" s="194">
        <v>12341.76</v>
      </c>
      <c r="J769" s="75">
        <v>81753.173721494197</v>
      </c>
      <c r="K769" s="73"/>
      <c r="M769" s="72"/>
      <c r="N769" s="54">
        <v>760</v>
      </c>
      <c r="O769" s="70">
        <v>91457.857499999998</v>
      </c>
      <c r="P769" s="75">
        <v>13573</v>
      </c>
      <c r="Q769" s="75">
        <v>92706</v>
      </c>
      <c r="R769" s="194">
        <v>370313.8075</v>
      </c>
      <c r="S769" s="194">
        <v>6635.3</v>
      </c>
      <c r="T769" s="70">
        <v>1662.6925000000008</v>
      </c>
      <c r="U769" s="80">
        <v>81753.173721494197</v>
      </c>
      <c r="V769" s="73"/>
      <c r="X769" s="30"/>
      <c r="Y769" s="54">
        <v>760</v>
      </c>
      <c r="Z769" s="70">
        <v>44869.44999999999</v>
      </c>
      <c r="AA769" s="75">
        <v>14217</v>
      </c>
      <c r="AB769" s="75">
        <v>7979.9000000000005</v>
      </c>
      <c r="AC769" s="75">
        <v>71819.100000000006</v>
      </c>
      <c r="AD769" s="194">
        <v>324080.05</v>
      </c>
      <c r="AE769" s="194">
        <v>6989.9500000000007</v>
      </c>
      <c r="AF769" s="76">
        <v>0.1</v>
      </c>
      <c r="AG769" s="70">
        <v>4975.9500000000016</v>
      </c>
      <c r="AH769" s="31"/>
    </row>
    <row r="770" spans="3:34" x14ac:dyDescent="0.25">
      <c r="C770" s="72"/>
      <c r="D770" s="54">
        <v>761</v>
      </c>
      <c r="E770" s="70">
        <v>30635.27</v>
      </c>
      <c r="F770" s="75">
        <v>5336</v>
      </c>
      <c r="G770" s="75">
        <v>84592</v>
      </c>
      <c r="H770" s="194">
        <v>314748</v>
      </c>
      <c r="I770" s="194">
        <v>11892.08</v>
      </c>
      <c r="J770" s="75">
        <v>81753.173721494197</v>
      </c>
      <c r="K770" s="73"/>
      <c r="M770" s="72"/>
      <c r="N770" s="54">
        <v>761</v>
      </c>
      <c r="O770" s="70">
        <v>35240.337500000009</v>
      </c>
      <c r="P770" s="75">
        <v>10905</v>
      </c>
      <c r="Q770" s="75">
        <v>79023</v>
      </c>
      <c r="R770" s="194">
        <v>313412.13750000001</v>
      </c>
      <c r="S770" s="194">
        <v>5951.15</v>
      </c>
      <c r="T770" s="70">
        <v>1335.8625000000006</v>
      </c>
      <c r="U770" s="80">
        <v>81753.173721494197</v>
      </c>
      <c r="V770" s="73"/>
      <c r="X770" s="30"/>
      <c r="Y770" s="54">
        <v>761</v>
      </c>
      <c r="Z770" s="70">
        <v>86971.299999999988</v>
      </c>
      <c r="AA770" s="75">
        <v>14902</v>
      </c>
      <c r="AB770" s="75">
        <v>4568.8500000000004</v>
      </c>
      <c r="AC770" s="75">
        <v>86808.15</v>
      </c>
      <c r="AD770" s="194">
        <v>366760.8</v>
      </c>
      <c r="AE770" s="194">
        <v>7568.85</v>
      </c>
      <c r="AF770" s="76">
        <v>0.05</v>
      </c>
      <c r="AG770" s="70">
        <v>5215.7000000000016</v>
      </c>
      <c r="AH770" s="31"/>
    </row>
    <row r="771" spans="3:34" x14ac:dyDescent="0.25">
      <c r="C771" s="72"/>
      <c r="D771" s="54">
        <v>762</v>
      </c>
      <c r="E771" s="70">
        <v>86065.16</v>
      </c>
      <c r="F771" s="75">
        <v>8226</v>
      </c>
      <c r="G771" s="75">
        <v>98053</v>
      </c>
      <c r="H771" s="194">
        <v>371976.5</v>
      </c>
      <c r="I771" s="194">
        <v>13690.69</v>
      </c>
      <c r="J771" s="75">
        <v>81753.173721494197</v>
      </c>
      <c r="K771" s="73"/>
      <c r="M771" s="72"/>
      <c r="N771" s="54">
        <v>762</v>
      </c>
      <c r="O771" s="70">
        <v>49107.152499999989</v>
      </c>
      <c r="P771" s="75">
        <v>14171</v>
      </c>
      <c r="Q771" s="75">
        <v>79845</v>
      </c>
      <c r="R771" s="194">
        <v>327320.05249999999</v>
      </c>
      <c r="S771" s="194">
        <v>5992.25</v>
      </c>
      <c r="T771" s="70">
        <v>1735.9475000000007</v>
      </c>
      <c r="U771" s="80">
        <v>81753.173721494197</v>
      </c>
      <c r="V771" s="73"/>
      <c r="X771" s="30"/>
      <c r="Y771" s="54">
        <v>762</v>
      </c>
      <c r="Z771" s="70">
        <v>58828.15</v>
      </c>
      <c r="AA771" s="75">
        <v>14700</v>
      </c>
      <c r="AB771" s="75">
        <v>5004.24</v>
      </c>
      <c r="AC771" s="75">
        <v>78399.759999999995</v>
      </c>
      <c r="AD771" s="194">
        <v>338219</v>
      </c>
      <c r="AE771" s="194">
        <v>7170.2</v>
      </c>
      <c r="AF771" s="76">
        <v>0.06</v>
      </c>
      <c r="AG771" s="70">
        <v>5145.0000000000009</v>
      </c>
      <c r="AH771" s="31"/>
    </row>
    <row r="772" spans="3:34" x14ac:dyDescent="0.25">
      <c r="C772" s="72"/>
      <c r="D772" s="54">
        <v>763</v>
      </c>
      <c r="E772" s="70">
        <v>30635.27</v>
      </c>
      <c r="F772" s="75">
        <v>6180</v>
      </c>
      <c r="G772" s="75">
        <v>83748</v>
      </c>
      <c r="H772" s="194">
        <v>314748</v>
      </c>
      <c r="I772" s="194">
        <v>11892.08</v>
      </c>
      <c r="J772" s="75">
        <v>81753.173721494197</v>
      </c>
      <c r="K772" s="73"/>
      <c r="M772" s="72"/>
      <c r="N772" s="54">
        <v>763</v>
      </c>
      <c r="O772" s="70">
        <v>49454.137500000026</v>
      </c>
      <c r="P772" s="75">
        <v>9385</v>
      </c>
      <c r="Q772" s="75">
        <v>84631</v>
      </c>
      <c r="R772" s="194">
        <v>327906.33750000002</v>
      </c>
      <c r="S772" s="194">
        <v>6231.55</v>
      </c>
      <c r="T772" s="70">
        <v>1149.6625000000006</v>
      </c>
      <c r="U772" s="80">
        <v>81753.173721494197</v>
      </c>
      <c r="V772" s="73"/>
      <c r="X772" s="30"/>
      <c r="Y772" s="54">
        <v>763</v>
      </c>
      <c r="Z772" s="70">
        <v>32048.650000000023</v>
      </c>
      <c r="AA772" s="75">
        <v>9941</v>
      </c>
      <c r="AB772" s="75">
        <v>4799.22</v>
      </c>
      <c r="AC772" s="75">
        <v>75187.78</v>
      </c>
      <c r="AD772" s="194">
        <v>311268.65000000002</v>
      </c>
      <c r="AE772" s="194">
        <v>6999.35</v>
      </c>
      <c r="AF772" s="76">
        <v>0.06</v>
      </c>
      <c r="AG772" s="70">
        <v>3479.3500000000008</v>
      </c>
      <c r="AH772" s="31"/>
    </row>
    <row r="773" spans="3:34" x14ac:dyDescent="0.25">
      <c r="C773" s="72"/>
      <c r="D773" s="54">
        <v>764</v>
      </c>
      <c r="E773" s="70">
        <v>44493.59</v>
      </c>
      <c r="F773" s="75">
        <v>4670</v>
      </c>
      <c r="G773" s="75">
        <v>89346</v>
      </c>
      <c r="H773" s="194">
        <v>329056</v>
      </c>
      <c r="I773" s="194">
        <v>12341.76</v>
      </c>
      <c r="J773" s="75">
        <v>81753.173721494197</v>
      </c>
      <c r="K773" s="73"/>
      <c r="M773" s="72"/>
      <c r="N773" s="54">
        <v>764</v>
      </c>
      <c r="O773" s="70">
        <v>63452.394999999975</v>
      </c>
      <c r="P773" s="75">
        <v>10838</v>
      </c>
      <c r="Q773" s="75">
        <v>87266</v>
      </c>
      <c r="R773" s="194">
        <v>342036.34499999997</v>
      </c>
      <c r="S773" s="194">
        <v>6363.3</v>
      </c>
      <c r="T773" s="70">
        <v>1327.6550000000007</v>
      </c>
      <c r="U773" s="80">
        <v>81753.173721494197</v>
      </c>
      <c r="V773" s="73"/>
      <c r="X773" s="30"/>
      <c r="Y773" s="54">
        <v>764</v>
      </c>
      <c r="Z773" s="70">
        <v>45791.650000000009</v>
      </c>
      <c r="AA773" s="75">
        <v>11143</v>
      </c>
      <c r="AB773" s="75">
        <v>5801.1100000000006</v>
      </c>
      <c r="AC773" s="75">
        <v>77071.89</v>
      </c>
      <c r="AD773" s="194">
        <v>325155.95</v>
      </c>
      <c r="AE773" s="194">
        <v>7143.6500000000005</v>
      </c>
      <c r="AF773" s="76">
        <v>7.0000000000000007E-2</v>
      </c>
      <c r="AG773" s="70">
        <v>3900.0500000000011</v>
      </c>
      <c r="AH773" s="31"/>
    </row>
    <row r="774" spans="3:34" x14ac:dyDescent="0.25">
      <c r="C774" s="72"/>
      <c r="D774" s="54">
        <v>765</v>
      </c>
      <c r="E774" s="70">
        <v>58351.91</v>
      </c>
      <c r="F774" s="75">
        <v>8850</v>
      </c>
      <c r="G774" s="75">
        <v>89254</v>
      </c>
      <c r="H774" s="194">
        <v>343364</v>
      </c>
      <c r="I774" s="194">
        <v>12791.44</v>
      </c>
      <c r="J774" s="75">
        <v>81753.173721494197</v>
      </c>
      <c r="K774" s="73"/>
      <c r="M774" s="72"/>
      <c r="N774" s="54">
        <v>765</v>
      </c>
      <c r="O774" s="70">
        <v>49233.447500000009</v>
      </c>
      <c r="P774" s="75">
        <v>12429</v>
      </c>
      <c r="Q774" s="75">
        <v>81587</v>
      </c>
      <c r="R774" s="194">
        <v>327533.44750000001</v>
      </c>
      <c r="S774" s="194">
        <v>6079.35</v>
      </c>
      <c r="T774" s="70">
        <v>1522.5525000000007</v>
      </c>
      <c r="U774" s="80">
        <v>81753.173721494197</v>
      </c>
      <c r="V774" s="73"/>
      <c r="X774" s="30"/>
      <c r="Y774" s="54">
        <v>765</v>
      </c>
      <c r="Z774" s="70">
        <v>45439.150000000009</v>
      </c>
      <c r="AA774" s="75">
        <v>12318</v>
      </c>
      <c r="AB774" s="75">
        <v>6535.84</v>
      </c>
      <c r="AC774" s="75">
        <v>75162.16</v>
      </c>
      <c r="AD774" s="194">
        <v>324744.7</v>
      </c>
      <c r="AE774" s="194">
        <v>7084.9</v>
      </c>
      <c r="AF774" s="76">
        <v>0.08</v>
      </c>
      <c r="AG774" s="70">
        <v>4311.3000000000011</v>
      </c>
      <c r="AH774" s="31"/>
    </row>
    <row r="775" spans="3:34" x14ac:dyDescent="0.25">
      <c r="C775" s="72"/>
      <c r="D775" s="54">
        <v>766</v>
      </c>
      <c r="E775" s="70">
        <v>58351.91</v>
      </c>
      <c r="F775" s="75">
        <v>6727</v>
      </c>
      <c r="G775" s="75">
        <v>91377</v>
      </c>
      <c r="H775" s="194">
        <v>343364</v>
      </c>
      <c r="I775" s="194">
        <v>12791.44</v>
      </c>
      <c r="J775" s="75">
        <v>81753.173721494197</v>
      </c>
      <c r="K775" s="73"/>
      <c r="M775" s="72"/>
      <c r="N775" s="54">
        <v>766</v>
      </c>
      <c r="O775" s="70">
        <v>35379.319999999971</v>
      </c>
      <c r="P775" s="75">
        <v>8988</v>
      </c>
      <c r="Q775" s="75">
        <v>80940</v>
      </c>
      <c r="R775" s="194">
        <v>313646.96999999997</v>
      </c>
      <c r="S775" s="194">
        <v>6047</v>
      </c>
      <c r="T775" s="70">
        <v>1101.0300000000004</v>
      </c>
      <c r="U775" s="80">
        <v>81753.173721494197</v>
      </c>
      <c r="V775" s="73"/>
      <c r="X775" s="30"/>
      <c r="Y775" s="54">
        <v>766</v>
      </c>
      <c r="Z775" s="70">
        <v>59438.049999999988</v>
      </c>
      <c r="AA775" s="75">
        <v>12667</v>
      </c>
      <c r="AB775" s="75">
        <v>4271.8500000000004</v>
      </c>
      <c r="AC775" s="75">
        <v>81165.149999999994</v>
      </c>
      <c r="AD775" s="194">
        <v>338930.55</v>
      </c>
      <c r="AE775" s="194">
        <v>7271.85</v>
      </c>
      <c r="AF775" s="76">
        <v>0.05</v>
      </c>
      <c r="AG775" s="70">
        <v>4433.4500000000007</v>
      </c>
      <c r="AH775" s="31"/>
    </row>
    <row r="776" spans="3:34" x14ac:dyDescent="0.25">
      <c r="C776" s="72"/>
      <c r="D776" s="54">
        <v>767</v>
      </c>
      <c r="E776" s="70">
        <v>44493.59</v>
      </c>
      <c r="F776" s="75">
        <v>8570</v>
      </c>
      <c r="G776" s="75">
        <v>85446</v>
      </c>
      <c r="H776" s="194">
        <v>329056</v>
      </c>
      <c r="I776" s="194">
        <v>12341.76</v>
      </c>
      <c r="J776" s="75">
        <v>81753.173721494197</v>
      </c>
      <c r="K776" s="73"/>
      <c r="M776" s="72"/>
      <c r="N776" s="54">
        <v>767</v>
      </c>
      <c r="O776" s="70">
        <v>49383.305000000029</v>
      </c>
      <c r="P776" s="75">
        <v>10362</v>
      </c>
      <c r="Q776" s="75">
        <v>83654</v>
      </c>
      <c r="R776" s="194">
        <v>327786.65500000003</v>
      </c>
      <c r="S776" s="194">
        <v>6182.7</v>
      </c>
      <c r="T776" s="70">
        <v>1269.3450000000005</v>
      </c>
      <c r="U776" s="80">
        <v>81753.173721494197</v>
      </c>
      <c r="V776" s="73"/>
      <c r="X776" s="30"/>
      <c r="Y776" s="54">
        <v>767</v>
      </c>
      <c r="Z776" s="70">
        <v>59397.85000000002</v>
      </c>
      <c r="AA776" s="75">
        <v>12801</v>
      </c>
      <c r="AB776" s="75">
        <v>7677.2699999999995</v>
      </c>
      <c r="AC776" s="75">
        <v>77625.73</v>
      </c>
      <c r="AD776" s="194">
        <v>338883.65</v>
      </c>
      <c r="AE776" s="194">
        <v>7265.1500000000005</v>
      </c>
      <c r="AF776" s="76">
        <v>0.09</v>
      </c>
      <c r="AG776" s="70">
        <v>4480.3500000000013</v>
      </c>
      <c r="AH776" s="31"/>
    </row>
    <row r="777" spans="3:34" x14ac:dyDescent="0.25">
      <c r="C777" s="72"/>
      <c r="D777" s="54">
        <v>768</v>
      </c>
      <c r="E777" s="70">
        <v>58351.91</v>
      </c>
      <c r="F777" s="75">
        <v>4918</v>
      </c>
      <c r="G777" s="75">
        <v>93186</v>
      </c>
      <c r="H777" s="194">
        <v>343364</v>
      </c>
      <c r="I777" s="194">
        <v>12791.44</v>
      </c>
      <c r="J777" s="75">
        <v>81753.173721494197</v>
      </c>
      <c r="K777" s="73"/>
      <c r="M777" s="72"/>
      <c r="N777" s="54">
        <v>768</v>
      </c>
      <c r="O777" s="70">
        <v>63515.832499999975</v>
      </c>
      <c r="P777" s="75">
        <v>9963</v>
      </c>
      <c r="Q777" s="75">
        <v>88141</v>
      </c>
      <c r="R777" s="194">
        <v>342143.53249999997</v>
      </c>
      <c r="S777" s="194">
        <v>6407.05</v>
      </c>
      <c r="T777" s="70">
        <v>1220.4675000000004</v>
      </c>
      <c r="U777" s="80">
        <v>81753.173721494197</v>
      </c>
      <c r="V777" s="73"/>
      <c r="X777" s="30"/>
      <c r="Y777" s="54">
        <v>768</v>
      </c>
      <c r="Z777" s="70">
        <v>31289.95</v>
      </c>
      <c r="AA777" s="75">
        <v>12470</v>
      </c>
      <c r="AB777" s="75">
        <v>4647.4799999999996</v>
      </c>
      <c r="AC777" s="75">
        <v>72810.52</v>
      </c>
      <c r="AD777" s="194">
        <v>310383.5</v>
      </c>
      <c r="AE777" s="194">
        <v>6872.9</v>
      </c>
      <c r="AF777" s="76">
        <v>0.06</v>
      </c>
      <c r="AG777" s="70">
        <v>4364.5000000000009</v>
      </c>
      <c r="AH777" s="31"/>
    </row>
    <row r="778" spans="3:34" x14ac:dyDescent="0.25">
      <c r="C778" s="72"/>
      <c r="D778" s="54">
        <v>769</v>
      </c>
      <c r="E778" s="70">
        <v>44493.59</v>
      </c>
      <c r="F778" s="75">
        <v>4809</v>
      </c>
      <c r="G778" s="75">
        <v>89207</v>
      </c>
      <c r="H778" s="194">
        <v>329056</v>
      </c>
      <c r="I778" s="194">
        <v>12341.76</v>
      </c>
      <c r="J778" s="75">
        <v>81753.173721494197</v>
      </c>
      <c r="K778" s="73"/>
      <c r="M778" s="72"/>
      <c r="N778" s="54">
        <v>769</v>
      </c>
      <c r="O778" s="70">
        <v>35377.434999999976</v>
      </c>
      <c r="P778" s="75">
        <v>9014</v>
      </c>
      <c r="Q778" s="75">
        <v>80914</v>
      </c>
      <c r="R778" s="194">
        <v>313643.78499999997</v>
      </c>
      <c r="S778" s="194">
        <v>6045.7000000000007</v>
      </c>
      <c r="T778" s="70">
        <v>1104.2150000000004</v>
      </c>
      <c r="U778" s="80">
        <v>81753.173721494197</v>
      </c>
      <c r="V778" s="73"/>
      <c r="X778" s="30"/>
      <c r="Y778" s="54">
        <v>769</v>
      </c>
      <c r="Z778" s="70">
        <v>59071.15</v>
      </c>
      <c r="AA778" s="75">
        <v>13890</v>
      </c>
      <c r="AB778" s="75">
        <v>4210.7</v>
      </c>
      <c r="AC778" s="75">
        <v>80003.3</v>
      </c>
      <c r="AD778" s="194">
        <v>338502.5</v>
      </c>
      <c r="AE778" s="194">
        <v>7210.7</v>
      </c>
      <c r="AF778" s="76">
        <v>0.05</v>
      </c>
      <c r="AG778" s="70">
        <v>4861.5000000000009</v>
      </c>
      <c r="AH778" s="31"/>
    </row>
    <row r="779" spans="3:34" x14ac:dyDescent="0.25">
      <c r="C779" s="72"/>
      <c r="D779" s="54">
        <v>770</v>
      </c>
      <c r="E779" s="70">
        <v>58351.91</v>
      </c>
      <c r="F779" s="75">
        <v>4865</v>
      </c>
      <c r="G779" s="75">
        <v>93239</v>
      </c>
      <c r="H779" s="194">
        <v>343364</v>
      </c>
      <c r="I779" s="194">
        <v>12791.44</v>
      </c>
      <c r="J779" s="75">
        <v>81753.173721494197</v>
      </c>
      <c r="K779" s="73"/>
      <c r="M779" s="72"/>
      <c r="N779" s="54">
        <v>770</v>
      </c>
      <c r="O779" s="70">
        <v>63521.487500000025</v>
      </c>
      <c r="P779" s="75">
        <v>9885</v>
      </c>
      <c r="Q779" s="75">
        <v>88219</v>
      </c>
      <c r="R779" s="194">
        <v>342153.08750000002</v>
      </c>
      <c r="S779" s="194">
        <v>6410.95</v>
      </c>
      <c r="T779" s="70">
        <v>1210.9125000000006</v>
      </c>
      <c r="U779" s="80">
        <v>81753.173721494197</v>
      </c>
      <c r="V779" s="73"/>
      <c r="X779" s="30"/>
      <c r="Y779" s="54">
        <v>770</v>
      </c>
      <c r="Z779" s="70">
        <v>45197.650000000009</v>
      </c>
      <c r="AA779" s="75">
        <v>13123</v>
      </c>
      <c r="AB779" s="75">
        <v>8089.3</v>
      </c>
      <c r="AC779" s="75">
        <v>72803.7</v>
      </c>
      <c r="AD779" s="194">
        <v>324462.95</v>
      </c>
      <c r="AE779" s="194">
        <v>7044.65</v>
      </c>
      <c r="AF779" s="76">
        <v>0.1</v>
      </c>
      <c r="AG779" s="70">
        <v>4593.0500000000011</v>
      </c>
      <c r="AH779" s="31"/>
    </row>
    <row r="780" spans="3:34" x14ac:dyDescent="0.25">
      <c r="C780" s="72"/>
      <c r="D780" s="54">
        <v>771</v>
      </c>
      <c r="E780" s="70">
        <v>58351.91</v>
      </c>
      <c r="F780" s="75">
        <v>5888</v>
      </c>
      <c r="G780" s="75">
        <v>92216</v>
      </c>
      <c r="H780" s="194">
        <v>343364</v>
      </c>
      <c r="I780" s="194">
        <v>12791.44</v>
      </c>
      <c r="J780" s="75">
        <v>81753.173721494197</v>
      </c>
      <c r="K780" s="73"/>
      <c r="M780" s="72"/>
      <c r="N780" s="54">
        <v>771</v>
      </c>
      <c r="O780" s="70">
        <v>91276.027500000011</v>
      </c>
      <c r="P780" s="75">
        <v>16081</v>
      </c>
      <c r="Q780" s="75">
        <v>90198</v>
      </c>
      <c r="R780" s="194">
        <v>370006.57750000001</v>
      </c>
      <c r="S780" s="194">
        <v>6509.9000000000005</v>
      </c>
      <c r="T780" s="70">
        <v>1969.9225000000008</v>
      </c>
      <c r="U780" s="80">
        <v>81753.173721494197</v>
      </c>
      <c r="V780" s="73"/>
      <c r="X780" s="30"/>
      <c r="Y780" s="54">
        <v>771</v>
      </c>
      <c r="Z780" s="70">
        <v>59983.750000000015</v>
      </c>
      <c r="AA780" s="75">
        <v>10848</v>
      </c>
      <c r="AB780" s="75">
        <v>7853.04</v>
      </c>
      <c r="AC780" s="75">
        <v>79402.960000000006</v>
      </c>
      <c r="AD780" s="194">
        <v>339567.2</v>
      </c>
      <c r="AE780" s="194">
        <v>7362.8</v>
      </c>
      <c r="AF780" s="76">
        <v>0.09</v>
      </c>
      <c r="AG780" s="70">
        <v>3796.8000000000011</v>
      </c>
      <c r="AH780" s="31"/>
    </row>
    <row r="781" spans="3:34" x14ac:dyDescent="0.25">
      <c r="C781" s="72"/>
      <c r="D781" s="54">
        <v>772</v>
      </c>
      <c r="E781" s="70">
        <v>30635.27</v>
      </c>
      <c r="F781" s="75">
        <v>6260</v>
      </c>
      <c r="G781" s="75">
        <v>83668</v>
      </c>
      <c r="H781" s="194">
        <v>314748</v>
      </c>
      <c r="I781" s="194">
        <v>11892.08</v>
      </c>
      <c r="J781" s="75">
        <v>81753.173721494197</v>
      </c>
      <c r="K781" s="73"/>
      <c r="M781" s="72"/>
      <c r="N781" s="54">
        <v>772</v>
      </c>
      <c r="O781" s="70">
        <v>49334.222499999974</v>
      </c>
      <c r="P781" s="75">
        <v>11039</v>
      </c>
      <c r="Q781" s="75">
        <v>82977</v>
      </c>
      <c r="R781" s="194">
        <v>327703.72249999997</v>
      </c>
      <c r="S781" s="194">
        <v>6148.85</v>
      </c>
      <c r="T781" s="70">
        <v>1352.2775000000006</v>
      </c>
      <c r="U781" s="80">
        <v>81753.173721494197</v>
      </c>
      <c r="V781" s="73"/>
      <c r="X781" s="30"/>
      <c r="Y781" s="54">
        <v>772</v>
      </c>
      <c r="Z781" s="70">
        <v>45163.750000000022</v>
      </c>
      <c r="AA781" s="75">
        <v>13236</v>
      </c>
      <c r="AB781" s="75">
        <v>8078</v>
      </c>
      <c r="AC781" s="75">
        <v>72702</v>
      </c>
      <c r="AD781" s="194">
        <v>324423.40000000002</v>
      </c>
      <c r="AE781" s="194">
        <v>7039</v>
      </c>
      <c r="AF781" s="76">
        <v>0.1</v>
      </c>
      <c r="AG781" s="70">
        <v>4632.6000000000013</v>
      </c>
      <c r="AH781" s="31"/>
    </row>
    <row r="782" spans="3:34" x14ac:dyDescent="0.25">
      <c r="C782" s="72"/>
      <c r="D782" s="54">
        <v>773</v>
      </c>
      <c r="E782" s="70">
        <v>58351.91</v>
      </c>
      <c r="F782" s="75">
        <v>9714</v>
      </c>
      <c r="G782" s="75">
        <v>88390</v>
      </c>
      <c r="H782" s="194">
        <v>343364</v>
      </c>
      <c r="I782" s="194">
        <v>12791.44</v>
      </c>
      <c r="J782" s="75">
        <v>81753.173721494197</v>
      </c>
      <c r="K782" s="73"/>
      <c r="M782" s="72"/>
      <c r="N782" s="54">
        <v>773</v>
      </c>
      <c r="O782" s="70">
        <v>49382.797499999986</v>
      </c>
      <c r="P782" s="75">
        <v>10369</v>
      </c>
      <c r="Q782" s="75">
        <v>83647</v>
      </c>
      <c r="R782" s="194">
        <v>327785.79749999999</v>
      </c>
      <c r="S782" s="194">
        <v>6182.35</v>
      </c>
      <c r="T782" s="70">
        <v>1270.2025000000006</v>
      </c>
      <c r="U782" s="80">
        <v>81753.173721494197</v>
      </c>
      <c r="V782" s="73"/>
      <c r="X782" s="30"/>
      <c r="Y782" s="54">
        <v>773</v>
      </c>
      <c r="Z782" s="70">
        <v>60025.449999999975</v>
      </c>
      <c r="AA782" s="75">
        <v>10709</v>
      </c>
      <c r="AB782" s="75">
        <v>6991.6</v>
      </c>
      <c r="AC782" s="75">
        <v>80403.399999999994</v>
      </c>
      <c r="AD782" s="194">
        <v>339615.85</v>
      </c>
      <c r="AE782" s="194">
        <v>7369.75</v>
      </c>
      <c r="AF782" s="76">
        <v>0.08</v>
      </c>
      <c r="AG782" s="70">
        <v>3748.150000000001</v>
      </c>
      <c r="AH782" s="31"/>
    </row>
    <row r="783" spans="3:34" x14ac:dyDescent="0.25">
      <c r="C783" s="72"/>
      <c r="D783" s="54">
        <v>774</v>
      </c>
      <c r="E783" s="70">
        <v>44493.59</v>
      </c>
      <c r="F783" s="75">
        <v>4775</v>
      </c>
      <c r="G783" s="75">
        <v>89241</v>
      </c>
      <c r="H783" s="194">
        <v>329056</v>
      </c>
      <c r="I783" s="194">
        <v>12341.76</v>
      </c>
      <c r="J783" s="75">
        <v>81753.173721494197</v>
      </c>
      <c r="K783" s="73"/>
      <c r="M783" s="72"/>
      <c r="N783" s="54">
        <v>774</v>
      </c>
      <c r="O783" s="70">
        <v>91432.41</v>
      </c>
      <c r="P783" s="75">
        <v>13924</v>
      </c>
      <c r="Q783" s="75">
        <v>92355</v>
      </c>
      <c r="R783" s="194">
        <v>370270.81</v>
      </c>
      <c r="S783" s="194">
        <v>6617.75</v>
      </c>
      <c r="T783" s="70">
        <v>1705.6900000000007</v>
      </c>
      <c r="U783" s="80">
        <v>81753.173721494197</v>
      </c>
      <c r="V783" s="73"/>
      <c r="X783" s="30"/>
      <c r="Y783" s="54">
        <v>774</v>
      </c>
      <c r="Z783" s="70">
        <v>46311.250000000022</v>
      </c>
      <c r="AA783" s="75">
        <v>9411</v>
      </c>
      <c r="AB783" s="75">
        <v>5922.35</v>
      </c>
      <c r="AC783" s="75">
        <v>78682.649999999994</v>
      </c>
      <c r="AD783" s="194">
        <v>325762.15000000002</v>
      </c>
      <c r="AE783" s="194">
        <v>7230.25</v>
      </c>
      <c r="AF783" s="76">
        <v>7.0000000000000007E-2</v>
      </c>
      <c r="AG783" s="70">
        <v>3293.8500000000008</v>
      </c>
      <c r="AH783" s="31"/>
    </row>
    <row r="784" spans="3:34" x14ac:dyDescent="0.25">
      <c r="C784" s="72"/>
      <c r="D784" s="54">
        <v>775</v>
      </c>
      <c r="E784" s="70">
        <v>58351.91</v>
      </c>
      <c r="F784" s="75">
        <v>7836</v>
      </c>
      <c r="G784" s="75">
        <v>90268</v>
      </c>
      <c r="H784" s="194">
        <v>343364</v>
      </c>
      <c r="I784" s="194">
        <v>12791.44</v>
      </c>
      <c r="J784" s="75">
        <v>81753.173721494197</v>
      </c>
      <c r="K784" s="73"/>
      <c r="M784" s="72"/>
      <c r="N784" s="54">
        <v>775</v>
      </c>
      <c r="O784" s="70">
        <v>63163.264999999999</v>
      </c>
      <c r="P784" s="75">
        <v>14826</v>
      </c>
      <c r="Q784" s="75">
        <v>83278</v>
      </c>
      <c r="R784" s="194">
        <v>341547.815</v>
      </c>
      <c r="S784" s="194">
        <v>6163.9000000000005</v>
      </c>
      <c r="T784" s="70">
        <v>1816.1850000000009</v>
      </c>
      <c r="U784" s="80">
        <v>81753.173721494197</v>
      </c>
      <c r="V784" s="73"/>
      <c r="X784" s="30"/>
      <c r="Y784" s="54">
        <v>775</v>
      </c>
      <c r="Z784" s="70">
        <v>44896.750000000022</v>
      </c>
      <c r="AA784" s="75">
        <v>14126</v>
      </c>
      <c r="AB784" s="75">
        <v>3994.5</v>
      </c>
      <c r="AC784" s="75">
        <v>75895.5</v>
      </c>
      <c r="AD784" s="194">
        <v>324111.90000000002</v>
      </c>
      <c r="AE784" s="194">
        <v>6994.5</v>
      </c>
      <c r="AF784" s="76">
        <v>0.05</v>
      </c>
      <c r="AG784" s="70">
        <v>4944.1000000000013</v>
      </c>
      <c r="AH784" s="31"/>
    </row>
    <row r="785" spans="3:34" x14ac:dyDescent="0.25">
      <c r="C785" s="72"/>
      <c r="D785" s="54">
        <v>776</v>
      </c>
      <c r="E785" s="70">
        <v>30635.27</v>
      </c>
      <c r="F785" s="75">
        <v>5456</v>
      </c>
      <c r="G785" s="75">
        <v>84472</v>
      </c>
      <c r="H785" s="194">
        <v>314748</v>
      </c>
      <c r="I785" s="194">
        <v>11892.08</v>
      </c>
      <c r="J785" s="75">
        <v>81753.173721494197</v>
      </c>
      <c r="K785" s="73"/>
      <c r="M785" s="72"/>
      <c r="N785" s="54">
        <v>776</v>
      </c>
      <c r="O785" s="70">
        <v>35242.729999999996</v>
      </c>
      <c r="P785" s="75">
        <v>10872</v>
      </c>
      <c r="Q785" s="75">
        <v>79056</v>
      </c>
      <c r="R785" s="194">
        <v>313416.18</v>
      </c>
      <c r="S785" s="194">
        <v>5952.8</v>
      </c>
      <c r="T785" s="70">
        <v>1331.8200000000006</v>
      </c>
      <c r="U785" s="80">
        <v>81753.173721494197</v>
      </c>
      <c r="V785" s="73"/>
      <c r="X785" s="30"/>
      <c r="Y785" s="54">
        <v>776</v>
      </c>
      <c r="Z785" s="70">
        <v>44873.05</v>
      </c>
      <c r="AA785" s="75">
        <v>14205</v>
      </c>
      <c r="AB785" s="75">
        <v>4788.66</v>
      </c>
      <c r="AC785" s="75">
        <v>75022.34</v>
      </c>
      <c r="AD785" s="194">
        <v>324084.25</v>
      </c>
      <c r="AE785" s="194">
        <v>6990.55</v>
      </c>
      <c r="AF785" s="76">
        <v>0.06</v>
      </c>
      <c r="AG785" s="70">
        <v>4971.7500000000009</v>
      </c>
      <c r="AH785" s="31"/>
    </row>
    <row r="786" spans="3:34" x14ac:dyDescent="0.25">
      <c r="C786" s="72"/>
      <c r="D786" s="54">
        <v>777</v>
      </c>
      <c r="E786" s="70">
        <v>44493.59</v>
      </c>
      <c r="F786" s="75">
        <v>4762</v>
      </c>
      <c r="G786" s="75">
        <v>89254</v>
      </c>
      <c r="H786" s="194">
        <v>329056</v>
      </c>
      <c r="I786" s="194">
        <v>12341.76</v>
      </c>
      <c r="J786" s="75">
        <v>81753.173721494197</v>
      </c>
      <c r="K786" s="73"/>
      <c r="M786" s="72"/>
      <c r="N786" s="54">
        <v>777</v>
      </c>
      <c r="O786" s="70">
        <v>35383.16250000002</v>
      </c>
      <c r="P786" s="75">
        <v>8935</v>
      </c>
      <c r="Q786" s="75">
        <v>80993</v>
      </c>
      <c r="R786" s="194">
        <v>313653.46250000002</v>
      </c>
      <c r="S786" s="194">
        <v>6049.65</v>
      </c>
      <c r="T786" s="70">
        <v>1094.5375000000004</v>
      </c>
      <c r="U786" s="80">
        <v>81753.173721494197</v>
      </c>
      <c r="V786" s="73"/>
      <c r="X786" s="30"/>
      <c r="Y786" s="54">
        <v>777</v>
      </c>
      <c r="Z786" s="70">
        <v>31801.45</v>
      </c>
      <c r="AA786" s="75">
        <v>10765</v>
      </c>
      <c r="AB786" s="75">
        <v>7916.3</v>
      </c>
      <c r="AC786" s="75">
        <v>71246.7</v>
      </c>
      <c r="AD786" s="194">
        <v>310980.25</v>
      </c>
      <c r="AE786" s="194">
        <v>6958.15</v>
      </c>
      <c r="AF786" s="76">
        <v>0.1</v>
      </c>
      <c r="AG786" s="70">
        <v>3767.7500000000009</v>
      </c>
      <c r="AH786" s="31"/>
    </row>
    <row r="787" spans="3:34" x14ac:dyDescent="0.25">
      <c r="C787" s="72"/>
      <c r="D787" s="54">
        <v>778</v>
      </c>
      <c r="E787" s="70">
        <v>86065.16</v>
      </c>
      <c r="F787" s="75">
        <v>9597</v>
      </c>
      <c r="G787" s="75">
        <v>96682</v>
      </c>
      <c r="H787" s="194">
        <v>371976.5</v>
      </c>
      <c r="I787" s="194">
        <v>13690.69</v>
      </c>
      <c r="J787" s="75">
        <v>81753.173721494197</v>
      </c>
      <c r="K787" s="73"/>
      <c r="M787" s="72"/>
      <c r="N787" s="54">
        <v>778</v>
      </c>
      <c r="O787" s="70">
        <v>91367.594999999987</v>
      </c>
      <c r="P787" s="75">
        <v>14818</v>
      </c>
      <c r="Q787" s="75">
        <v>91461</v>
      </c>
      <c r="R787" s="194">
        <v>370161.29499999998</v>
      </c>
      <c r="S787" s="194">
        <v>6573.05</v>
      </c>
      <c r="T787" s="70">
        <v>1815.2050000000008</v>
      </c>
      <c r="U787" s="80">
        <v>81753.173721494197</v>
      </c>
      <c r="V787" s="73"/>
      <c r="X787" s="30"/>
      <c r="Y787" s="54">
        <v>778</v>
      </c>
      <c r="Z787" s="70">
        <v>31778.95</v>
      </c>
      <c r="AA787" s="75">
        <v>10840</v>
      </c>
      <c r="AB787" s="75">
        <v>6327.04</v>
      </c>
      <c r="AC787" s="75">
        <v>72760.960000000006</v>
      </c>
      <c r="AD787" s="194">
        <v>310954</v>
      </c>
      <c r="AE787" s="194">
        <v>6954.4</v>
      </c>
      <c r="AF787" s="76">
        <v>0.08</v>
      </c>
      <c r="AG787" s="70">
        <v>3794.0000000000009</v>
      </c>
      <c r="AH787" s="31"/>
    </row>
    <row r="788" spans="3:34" x14ac:dyDescent="0.25">
      <c r="C788" s="72"/>
      <c r="D788" s="54">
        <v>779</v>
      </c>
      <c r="E788" s="70">
        <v>44493.59</v>
      </c>
      <c r="F788" s="75">
        <v>5697</v>
      </c>
      <c r="G788" s="75">
        <v>88319</v>
      </c>
      <c r="H788" s="194">
        <v>329056</v>
      </c>
      <c r="I788" s="194">
        <v>12341.76</v>
      </c>
      <c r="J788" s="75">
        <v>81753.173721494197</v>
      </c>
      <c r="K788" s="73"/>
      <c r="M788" s="72"/>
      <c r="N788" s="54">
        <v>779</v>
      </c>
      <c r="O788" s="70">
        <v>49459.502500000024</v>
      </c>
      <c r="P788" s="75">
        <v>9311</v>
      </c>
      <c r="Q788" s="75">
        <v>84705</v>
      </c>
      <c r="R788" s="194">
        <v>327915.40250000003</v>
      </c>
      <c r="S788" s="194">
        <v>6235.25</v>
      </c>
      <c r="T788" s="70">
        <v>1140.5975000000005</v>
      </c>
      <c r="U788" s="80">
        <v>81753.173721494197</v>
      </c>
      <c r="V788" s="73"/>
      <c r="X788" s="30"/>
      <c r="Y788" s="54">
        <v>779</v>
      </c>
      <c r="Z788" s="70">
        <v>59420.65</v>
      </c>
      <c r="AA788" s="75">
        <v>12725</v>
      </c>
      <c r="AB788" s="75">
        <v>8537.9</v>
      </c>
      <c r="AC788" s="75">
        <v>76841.100000000006</v>
      </c>
      <c r="AD788" s="194">
        <v>338910.25</v>
      </c>
      <c r="AE788" s="194">
        <v>7268.95</v>
      </c>
      <c r="AF788" s="76">
        <v>0.1</v>
      </c>
      <c r="AG788" s="70">
        <v>4453.7500000000009</v>
      </c>
      <c r="AH788" s="31"/>
    </row>
    <row r="789" spans="3:34" x14ac:dyDescent="0.25">
      <c r="C789" s="72"/>
      <c r="D789" s="54">
        <v>780</v>
      </c>
      <c r="E789" s="70">
        <v>30635.27</v>
      </c>
      <c r="F789" s="75">
        <v>5386</v>
      </c>
      <c r="G789" s="75">
        <v>84542</v>
      </c>
      <c r="H789" s="194">
        <v>314748</v>
      </c>
      <c r="I789" s="194">
        <v>11892.08</v>
      </c>
      <c r="J789" s="75">
        <v>81753.173721494197</v>
      </c>
      <c r="K789" s="73"/>
      <c r="M789" s="72"/>
      <c r="N789" s="54">
        <v>780</v>
      </c>
      <c r="O789" s="70">
        <v>35051.039999999979</v>
      </c>
      <c r="P789" s="75">
        <v>13516</v>
      </c>
      <c r="Q789" s="75">
        <v>76412</v>
      </c>
      <c r="R789" s="194">
        <v>313092.28999999998</v>
      </c>
      <c r="S789" s="194">
        <v>5820.6</v>
      </c>
      <c r="T789" s="70">
        <v>1655.7100000000007</v>
      </c>
      <c r="U789" s="80">
        <v>81753.173721494197</v>
      </c>
      <c r="V789" s="73"/>
      <c r="X789" s="30"/>
      <c r="Y789" s="54">
        <v>780</v>
      </c>
      <c r="Z789" s="70">
        <v>86692.9</v>
      </c>
      <c r="AA789" s="75">
        <v>15830</v>
      </c>
      <c r="AB789" s="75">
        <v>5426.94</v>
      </c>
      <c r="AC789" s="75">
        <v>85022.06</v>
      </c>
      <c r="AD789" s="194">
        <v>366436</v>
      </c>
      <c r="AE789" s="194">
        <v>7522.45</v>
      </c>
      <c r="AF789" s="76">
        <v>0.06</v>
      </c>
      <c r="AG789" s="70">
        <v>5540.5000000000018</v>
      </c>
      <c r="AH789" s="31"/>
    </row>
    <row r="790" spans="3:34" x14ac:dyDescent="0.25">
      <c r="C790" s="72"/>
      <c r="D790" s="54">
        <v>781</v>
      </c>
      <c r="E790" s="70">
        <v>30635.27</v>
      </c>
      <c r="F790" s="75">
        <v>4671</v>
      </c>
      <c r="G790" s="75">
        <v>85257</v>
      </c>
      <c r="H790" s="194">
        <v>314748</v>
      </c>
      <c r="I790" s="194">
        <v>11892.08</v>
      </c>
      <c r="J790" s="75">
        <v>81753.173721494197</v>
      </c>
      <c r="K790" s="73"/>
      <c r="M790" s="72"/>
      <c r="N790" s="54">
        <v>781</v>
      </c>
      <c r="O790" s="70">
        <v>63454.860000000008</v>
      </c>
      <c r="P790" s="75">
        <v>10804</v>
      </c>
      <c r="Q790" s="75">
        <v>87300</v>
      </c>
      <c r="R790" s="194">
        <v>342040.51</v>
      </c>
      <c r="S790" s="194">
        <v>6365</v>
      </c>
      <c r="T790" s="70">
        <v>1323.4900000000005</v>
      </c>
      <c r="U790" s="80">
        <v>81753.173721494197</v>
      </c>
      <c r="V790" s="73"/>
      <c r="X790" s="30"/>
      <c r="Y790" s="54">
        <v>781</v>
      </c>
      <c r="Z790" s="70">
        <v>31268.650000000023</v>
      </c>
      <c r="AA790" s="75">
        <v>12541</v>
      </c>
      <c r="AB790" s="75">
        <v>7738.7000000000007</v>
      </c>
      <c r="AC790" s="75">
        <v>69648.3</v>
      </c>
      <c r="AD790" s="194">
        <v>310358.65000000002</v>
      </c>
      <c r="AE790" s="194">
        <v>6869.35</v>
      </c>
      <c r="AF790" s="76">
        <v>0.1</v>
      </c>
      <c r="AG790" s="70">
        <v>4389.3500000000013</v>
      </c>
      <c r="AH790" s="31"/>
    </row>
    <row r="791" spans="3:34" x14ac:dyDescent="0.25">
      <c r="C791" s="72"/>
      <c r="D791" s="54">
        <v>782</v>
      </c>
      <c r="E791" s="70">
        <v>58351.91</v>
      </c>
      <c r="F791" s="75">
        <v>9801</v>
      </c>
      <c r="G791" s="75">
        <v>88303</v>
      </c>
      <c r="H791" s="194">
        <v>343364</v>
      </c>
      <c r="I791" s="194">
        <v>12791.44</v>
      </c>
      <c r="J791" s="75">
        <v>81753.173721494197</v>
      </c>
      <c r="K791" s="73"/>
      <c r="M791" s="72"/>
      <c r="N791" s="54">
        <v>782</v>
      </c>
      <c r="O791" s="70">
        <v>49263.389999999978</v>
      </c>
      <c r="P791" s="75">
        <v>12016</v>
      </c>
      <c r="Q791" s="75">
        <v>82000</v>
      </c>
      <c r="R791" s="194">
        <v>327584.03999999998</v>
      </c>
      <c r="S791" s="194">
        <v>6100</v>
      </c>
      <c r="T791" s="70">
        <v>1471.9600000000007</v>
      </c>
      <c r="U791" s="80">
        <v>81753.173721494197</v>
      </c>
      <c r="V791" s="73"/>
      <c r="X791" s="30"/>
      <c r="Y791" s="54">
        <v>782</v>
      </c>
      <c r="Z791" s="70">
        <v>60371.049999999988</v>
      </c>
      <c r="AA791" s="75">
        <v>9557</v>
      </c>
      <c r="AB791" s="75">
        <v>8854.7000000000007</v>
      </c>
      <c r="AC791" s="75">
        <v>79692.3</v>
      </c>
      <c r="AD791" s="194">
        <v>340019.05</v>
      </c>
      <c r="AE791" s="194">
        <v>7427.35</v>
      </c>
      <c r="AF791" s="76">
        <v>0.1</v>
      </c>
      <c r="AG791" s="70">
        <v>3344.9500000000007</v>
      </c>
      <c r="AH791" s="31"/>
    </row>
    <row r="792" spans="3:34" x14ac:dyDescent="0.25">
      <c r="C792" s="72"/>
      <c r="D792" s="54">
        <v>783</v>
      </c>
      <c r="E792" s="70">
        <v>44493.59</v>
      </c>
      <c r="F792" s="75">
        <v>6583</v>
      </c>
      <c r="G792" s="75">
        <v>87433</v>
      </c>
      <c r="H792" s="194">
        <v>329056</v>
      </c>
      <c r="I792" s="194">
        <v>12341.76</v>
      </c>
      <c r="J792" s="75">
        <v>81753.173721494197</v>
      </c>
      <c r="K792" s="73"/>
      <c r="M792" s="72"/>
      <c r="N792" s="54">
        <v>783</v>
      </c>
      <c r="O792" s="70">
        <v>49374.677500000013</v>
      </c>
      <c r="P792" s="75">
        <v>10481</v>
      </c>
      <c r="Q792" s="75">
        <v>83535</v>
      </c>
      <c r="R792" s="194">
        <v>327772.07750000001</v>
      </c>
      <c r="S792" s="194">
        <v>6176.75</v>
      </c>
      <c r="T792" s="70">
        <v>1283.9225000000006</v>
      </c>
      <c r="U792" s="80">
        <v>81753.173721494197</v>
      </c>
      <c r="V792" s="73"/>
      <c r="X792" s="30"/>
      <c r="Y792" s="54">
        <v>783</v>
      </c>
      <c r="Z792" s="70">
        <v>31831.150000000023</v>
      </c>
      <c r="AA792" s="75">
        <v>10666</v>
      </c>
      <c r="AB792" s="75">
        <v>5548.34</v>
      </c>
      <c r="AC792" s="75">
        <v>73713.66</v>
      </c>
      <c r="AD792" s="194">
        <v>311014.90000000002</v>
      </c>
      <c r="AE792" s="194">
        <v>6963.1</v>
      </c>
      <c r="AF792" s="76">
        <v>7.0000000000000007E-2</v>
      </c>
      <c r="AG792" s="70">
        <v>3733.1000000000008</v>
      </c>
      <c r="AH792" s="31"/>
    </row>
    <row r="793" spans="3:34" x14ac:dyDescent="0.25">
      <c r="C793" s="72"/>
      <c r="D793" s="54">
        <v>784</v>
      </c>
      <c r="E793" s="70">
        <v>58351.91</v>
      </c>
      <c r="F793" s="75">
        <v>6888</v>
      </c>
      <c r="G793" s="75">
        <v>91216</v>
      </c>
      <c r="H793" s="194">
        <v>343364</v>
      </c>
      <c r="I793" s="194">
        <v>12791.44</v>
      </c>
      <c r="J793" s="75">
        <v>81753.173721494197</v>
      </c>
      <c r="K793" s="73"/>
      <c r="M793" s="72"/>
      <c r="N793" s="54">
        <v>784</v>
      </c>
      <c r="O793" s="70">
        <v>49100.192499999983</v>
      </c>
      <c r="P793" s="75">
        <v>14267</v>
      </c>
      <c r="Q793" s="75">
        <v>79749</v>
      </c>
      <c r="R793" s="194">
        <v>327308.29249999998</v>
      </c>
      <c r="S793" s="194">
        <v>5987.4500000000007</v>
      </c>
      <c r="T793" s="70">
        <v>1747.7075000000007</v>
      </c>
      <c r="U793" s="80">
        <v>81753.173721494197</v>
      </c>
      <c r="V793" s="73"/>
      <c r="X793" s="30"/>
      <c r="Y793" s="54">
        <v>784</v>
      </c>
      <c r="Z793" s="70">
        <v>60259.449999999975</v>
      </c>
      <c r="AA793" s="75">
        <v>9929</v>
      </c>
      <c r="AB793" s="75">
        <v>7935.75</v>
      </c>
      <c r="AC793" s="75">
        <v>80239.25</v>
      </c>
      <c r="AD793" s="194">
        <v>339888.85</v>
      </c>
      <c r="AE793" s="194">
        <v>7408.75</v>
      </c>
      <c r="AF793" s="76">
        <v>0.09</v>
      </c>
      <c r="AG793" s="70">
        <v>3475.150000000001</v>
      </c>
      <c r="AH793" s="31"/>
    </row>
    <row r="794" spans="3:34" x14ac:dyDescent="0.25">
      <c r="C794" s="72"/>
      <c r="D794" s="54">
        <v>785</v>
      </c>
      <c r="E794" s="70">
        <v>58351.91</v>
      </c>
      <c r="F794" s="75">
        <v>6782</v>
      </c>
      <c r="G794" s="75">
        <v>91322</v>
      </c>
      <c r="H794" s="194">
        <v>343364</v>
      </c>
      <c r="I794" s="194">
        <v>12791.44</v>
      </c>
      <c r="J794" s="75">
        <v>81753.173721494197</v>
      </c>
      <c r="K794" s="73"/>
      <c r="M794" s="72"/>
      <c r="N794" s="54">
        <v>785</v>
      </c>
      <c r="O794" s="70">
        <v>49101.787499999991</v>
      </c>
      <c r="P794" s="75">
        <v>14245</v>
      </c>
      <c r="Q794" s="75">
        <v>79771</v>
      </c>
      <c r="R794" s="194">
        <v>327310.98749999999</v>
      </c>
      <c r="S794" s="194">
        <v>5988.55</v>
      </c>
      <c r="T794" s="70">
        <v>1745.0125000000007</v>
      </c>
      <c r="U794" s="80">
        <v>81753.173721494197</v>
      </c>
      <c r="V794" s="73"/>
      <c r="X794" s="30"/>
      <c r="Y794" s="54">
        <v>785</v>
      </c>
      <c r="Z794" s="70">
        <v>46062.849999999977</v>
      </c>
      <c r="AA794" s="75">
        <v>10239</v>
      </c>
      <c r="AB794" s="75">
        <v>6702.16</v>
      </c>
      <c r="AC794" s="75">
        <v>77074.84</v>
      </c>
      <c r="AD794" s="194">
        <v>325472.34999999998</v>
      </c>
      <c r="AE794" s="194">
        <v>7188.85</v>
      </c>
      <c r="AF794" s="76">
        <v>0.08</v>
      </c>
      <c r="AG794" s="70">
        <v>3583.650000000001</v>
      </c>
      <c r="AH794" s="31"/>
    </row>
    <row r="795" spans="3:34" x14ac:dyDescent="0.25">
      <c r="C795" s="72"/>
      <c r="D795" s="54">
        <v>786</v>
      </c>
      <c r="E795" s="70">
        <v>58351.91</v>
      </c>
      <c r="F795" s="75">
        <v>5901</v>
      </c>
      <c r="G795" s="75">
        <v>92203</v>
      </c>
      <c r="H795" s="194">
        <v>343364</v>
      </c>
      <c r="I795" s="194">
        <v>12791.44</v>
      </c>
      <c r="J795" s="75">
        <v>81753.173721494197</v>
      </c>
      <c r="K795" s="73"/>
      <c r="M795" s="72"/>
      <c r="N795" s="54">
        <v>786</v>
      </c>
      <c r="O795" s="70">
        <v>35318.927499999991</v>
      </c>
      <c r="P795" s="75">
        <v>9821</v>
      </c>
      <c r="Q795" s="75">
        <v>80107</v>
      </c>
      <c r="R795" s="194">
        <v>313544.92749999999</v>
      </c>
      <c r="S795" s="194">
        <v>6005.35</v>
      </c>
      <c r="T795" s="70">
        <v>1203.0725000000004</v>
      </c>
      <c r="U795" s="80">
        <v>81753.173721494197</v>
      </c>
      <c r="V795" s="73"/>
      <c r="X795" s="30"/>
      <c r="Y795" s="54">
        <v>786</v>
      </c>
      <c r="Z795" s="70">
        <v>44913.849999999977</v>
      </c>
      <c r="AA795" s="75">
        <v>14069</v>
      </c>
      <c r="AB795" s="75">
        <v>6395.76</v>
      </c>
      <c r="AC795" s="75">
        <v>73551.240000000005</v>
      </c>
      <c r="AD795" s="194">
        <v>324131.84999999998</v>
      </c>
      <c r="AE795" s="194">
        <v>6997.35</v>
      </c>
      <c r="AF795" s="76">
        <v>0.08</v>
      </c>
      <c r="AG795" s="70">
        <v>4924.1500000000015</v>
      </c>
      <c r="AH795" s="31"/>
    </row>
    <row r="796" spans="3:34" x14ac:dyDescent="0.25">
      <c r="C796" s="72"/>
      <c r="D796" s="54">
        <v>787</v>
      </c>
      <c r="E796" s="70">
        <v>30635.27</v>
      </c>
      <c r="F796" s="75">
        <v>7211</v>
      </c>
      <c r="G796" s="75">
        <v>82717</v>
      </c>
      <c r="H796" s="194">
        <v>314748</v>
      </c>
      <c r="I796" s="194">
        <v>11892.08</v>
      </c>
      <c r="J796" s="75">
        <v>81753.173721494197</v>
      </c>
      <c r="K796" s="73"/>
      <c r="M796" s="72"/>
      <c r="N796" s="54">
        <v>787</v>
      </c>
      <c r="O796" s="70">
        <v>63319.937499999978</v>
      </c>
      <c r="P796" s="75">
        <v>12665</v>
      </c>
      <c r="Q796" s="75">
        <v>85439</v>
      </c>
      <c r="R796" s="194">
        <v>341812.53749999998</v>
      </c>
      <c r="S796" s="194">
        <v>6271.95</v>
      </c>
      <c r="T796" s="70">
        <v>1551.4625000000008</v>
      </c>
      <c r="U796" s="80">
        <v>81753.173721494197</v>
      </c>
      <c r="V796" s="73"/>
      <c r="X796" s="30"/>
      <c r="Y796" s="54">
        <v>787</v>
      </c>
      <c r="Z796" s="70">
        <v>44892.849999999977</v>
      </c>
      <c r="AA796" s="75">
        <v>14139</v>
      </c>
      <c r="AB796" s="75">
        <v>4792.62</v>
      </c>
      <c r="AC796" s="75">
        <v>75084.38</v>
      </c>
      <c r="AD796" s="194">
        <v>324107.34999999998</v>
      </c>
      <c r="AE796" s="194">
        <v>6993.85</v>
      </c>
      <c r="AF796" s="76">
        <v>0.06</v>
      </c>
      <c r="AG796" s="70">
        <v>4948.6500000000015</v>
      </c>
      <c r="AH796" s="31"/>
    </row>
    <row r="797" spans="3:34" x14ac:dyDescent="0.25">
      <c r="C797" s="72"/>
      <c r="D797" s="54">
        <v>788</v>
      </c>
      <c r="E797" s="70">
        <v>44493.59</v>
      </c>
      <c r="F797" s="75">
        <v>8478</v>
      </c>
      <c r="G797" s="75">
        <v>85538</v>
      </c>
      <c r="H797" s="194">
        <v>329056</v>
      </c>
      <c r="I797" s="194">
        <v>12341.76</v>
      </c>
      <c r="J797" s="75">
        <v>81753.173721494197</v>
      </c>
      <c r="K797" s="73"/>
      <c r="M797" s="72"/>
      <c r="N797" s="54">
        <v>788</v>
      </c>
      <c r="O797" s="70">
        <v>49434.852500000001</v>
      </c>
      <c r="P797" s="75">
        <v>9651</v>
      </c>
      <c r="Q797" s="75">
        <v>84365</v>
      </c>
      <c r="R797" s="194">
        <v>327873.7525</v>
      </c>
      <c r="S797" s="194">
        <v>6218.25</v>
      </c>
      <c r="T797" s="70">
        <v>1182.2475000000006</v>
      </c>
      <c r="U797" s="80">
        <v>81753.173721494197</v>
      </c>
      <c r="V797" s="73"/>
      <c r="X797" s="30"/>
      <c r="Y797" s="54">
        <v>788</v>
      </c>
      <c r="Z797" s="70">
        <v>32044.150000000023</v>
      </c>
      <c r="AA797" s="75">
        <v>9956</v>
      </c>
      <c r="AB797" s="75">
        <v>7197.48</v>
      </c>
      <c r="AC797" s="75">
        <v>72774.52</v>
      </c>
      <c r="AD797" s="194">
        <v>311263.40000000002</v>
      </c>
      <c r="AE797" s="194">
        <v>6998.6</v>
      </c>
      <c r="AF797" s="76">
        <v>0.09</v>
      </c>
      <c r="AG797" s="70">
        <v>3484.6000000000008</v>
      </c>
      <c r="AH797" s="31"/>
    </row>
    <row r="798" spans="3:34" x14ac:dyDescent="0.25">
      <c r="C798" s="72"/>
      <c r="D798" s="54">
        <v>789</v>
      </c>
      <c r="E798" s="70">
        <v>58351.91</v>
      </c>
      <c r="F798" s="75">
        <v>5981</v>
      </c>
      <c r="G798" s="75">
        <v>92123</v>
      </c>
      <c r="H798" s="194">
        <v>343364</v>
      </c>
      <c r="I798" s="194">
        <v>12791.44</v>
      </c>
      <c r="J798" s="75">
        <v>81753.173721494197</v>
      </c>
      <c r="K798" s="73"/>
      <c r="M798" s="72"/>
      <c r="N798" s="54">
        <v>789</v>
      </c>
      <c r="O798" s="70">
        <v>35177.117500000008</v>
      </c>
      <c r="P798" s="75">
        <v>11777</v>
      </c>
      <c r="Q798" s="75">
        <v>78151</v>
      </c>
      <c r="R798" s="194">
        <v>313305.3175</v>
      </c>
      <c r="S798" s="194">
        <v>5907.55</v>
      </c>
      <c r="T798" s="70">
        <v>1442.6825000000006</v>
      </c>
      <c r="U798" s="80">
        <v>81753.173721494197</v>
      </c>
      <c r="V798" s="73"/>
      <c r="X798" s="30"/>
      <c r="Y798" s="54">
        <v>789</v>
      </c>
      <c r="Z798" s="70">
        <v>45237.250000000022</v>
      </c>
      <c r="AA798" s="75">
        <v>12991</v>
      </c>
      <c r="AB798" s="75">
        <v>4051.25</v>
      </c>
      <c r="AC798" s="75">
        <v>76973.75</v>
      </c>
      <c r="AD798" s="194">
        <v>324509.15000000002</v>
      </c>
      <c r="AE798" s="194">
        <v>7051.25</v>
      </c>
      <c r="AF798" s="76">
        <v>0.05</v>
      </c>
      <c r="AG798" s="70">
        <v>4546.8500000000013</v>
      </c>
      <c r="AH798" s="31"/>
    </row>
    <row r="799" spans="3:34" x14ac:dyDescent="0.25">
      <c r="C799" s="72"/>
      <c r="D799" s="54">
        <v>790</v>
      </c>
      <c r="E799" s="70">
        <v>30635.27</v>
      </c>
      <c r="F799" s="75">
        <v>4521</v>
      </c>
      <c r="G799" s="75">
        <v>85407</v>
      </c>
      <c r="H799" s="194">
        <v>314748</v>
      </c>
      <c r="I799" s="194">
        <v>11892.08</v>
      </c>
      <c r="J799" s="75">
        <v>81753.173721494197</v>
      </c>
      <c r="K799" s="73"/>
      <c r="M799" s="72"/>
      <c r="N799" s="54">
        <v>790</v>
      </c>
      <c r="O799" s="70">
        <v>63186.102499999964</v>
      </c>
      <c r="P799" s="75">
        <v>14511</v>
      </c>
      <c r="Q799" s="75">
        <v>83593</v>
      </c>
      <c r="R799" s="194">
        <v>341586.40249999997</v>
      </c>
      <c r="S799" s="194">
        <v>6179.6500000000005</v>
      </c>
      <c r="T799" s="70">
        <v>1777.5975000000008</v>
      </c>
      <c r="U799" s="80">
        <v>81753.173721494197</v>
      </c>
      <c r="V799" s="73"/>
      <c r="X799" s="30"/>
      <c r="Y799" s="54">
        <v>790</v>
      </c>
      <c r="Z799" s="70">
        <v>59151.549999999988</v>
      </c>
      <c r="AA799" s="75">
        <v>13622</v>
      </c>
      <c r="AB799" s="75">
        <v>5068.92</v>
      </c>
      <c r="AC799" s="75">
        <v>79413.08</v>
      </c>
      <c r="AD799" s="194">
        <v>338596.3</v>
      </c>
      <c r="AE799" s="194">
        <v>7224.1</v>
      </c>
      <c r="AF799" s="76">
        <v>0.06</v>
      </c>
      <c r="AG799" s="70">
        <v>4767.7000000000016</v>
      </c>
      <c r="AH799" s="31"/>
    </row>
    <row r="800" spans="3:34" x14ac:dyDescent="0.25">
      <c r="C800" s="72"/>
      <c r="D800" s="54">
        <v>791</v>
      </c>
      <c r="E800" s="70">
        <v>58351.91</v>
      </c>
      <c r="F800" s="75">
        <v>7830</v>
      </c>
      <c r="G800" s="75">
        <v>90274</v>
      </c>
      <c r="H800" s="194">
        <v>343364</v>
      </c>
      <c r="I800" s="194">
        <v>12791.44</v>
      </c>
      <c r="J800" s="75">
        <v>81753.173721494197</v>
      </c>
      <c r="K800" s="73"/>
      <c r="M800" s="72"/>
      <c r="N800" s="54">
        <v>791</v>
      </c>
      <c r="O800" s="70">
        <v>49247.875000000015</v>
      </c>
      <c r="P800" s="75">
        <v>12230</v>
      </c>
      <c r="Q800" s="75">
        <v>81786</v>
      </c>
      <c r="R800" s="194">
        <v>327557.82500000001</v>
      </c>
      <c r="S800" s="194">
        <v>6089.3</v>
      </c>
      <c r="T800" s="70">
        <v>1498.1750000000006</v>
      </c>
      <c r="U800" s="80">
        <v>81753.173721494197</v>
      </c>
      <c r="V800" s="73"/>
      <c r="X800" s="30"/>
      <c r="Y800" s="54">
        <v>791</v>
      </c>
      <c r="Z800" s="70">
        <v>86676.699999999983</v>
      </c>
      <c r="AA800" s="75">
        <v>15884</v>
      </c>
      <c r="AB800" s="75">
        <v>6327.6500000000005</v>
      </c>
      <c r="AC800" s="75">
        <v>84067.35</v>
      </c>
      <c r="AD800" s="194">
        <v>366417.1</v>
      </c>
      <c r="AE800" s="194">
        <v>7519.75</v>
      </c>
      <c r="AF800" s="76">
        <v>7.0000000000000007E-2</v>
      </c>
      <c r="AG800" s="70">
        <v>5559.4000000000015</v>
      </c>
      <c r="AH800" s="31"/>
    </row>
    <row r="801" spans="3:34" x14ac:dyDescent="0.25">
      <c r="C801" s="72"/>
      <c r="D801" s="54">
        <v>792</v>
      </c>
      <c r="E801" s="70">
        <v>44493.59</v>
      </c>
      <c r="F801" s="75">
        <v>5545</v>
      </c>
      <c r="G801" s="75">
        <v>88471</v>
      </c>
      <c r="H801" s="194">
        <v>329056</v>
      </c>
      <c r="I801" s="194">
        <v>12341.76</v>
      </c>
      <c r="J801" s="75">
        <v>81753.173721494197</v>
      </c>
      <c r="K801" s="73"/>
      <c r="M801" s="72"/>
      <c r="N801" s="54">
        <v>792</v>
      </c>
      <c r="O801" s="70">
        <v>63523.445000000022</v>
      </c>
      <c r="P801" s="75">
        <v>9858</v>
      </c>
      <c r="Q801" s="75">
        <v>88246</v>
      </c>
      <c r="R801" s="194">
        <v>342156.39500000002</v>
      </c>
      <c r="S801" s="194">
        <v>6412.3</v>
      </c>
      <c r="T801" s="70">
        <v>1207.6050000000005</v>
      </c>
      <c r="U801" s="80">
        <v>81753.173721494197</v>
      </c>
      <c r="V801" s="73"/>
      <c r="X801" s="30"/>
      <c r="Y801" s="54">
        <v>792</v>
      </c>
      <c r="Z801" s="70">
        <v>46314.250000000022</v>
      </c>
      <c r="AA801" s="75">
        <v>9401</v>
      </c>
      <c r="AB801" s="75">
        <v>4230.75</v>
      </c>
      <c r="AC801" s="75">
        <v>80384.25</v>
      </c>
      <c r="AD801" s="194">
        <v>325765.65000000002</v>
      </c>
      <c r="AE801" s="194">
        <v>7230.75</v>
      </c>
      <c r="AF801" s="76">
        <v>0.05</v>
      </c>
      <c r="AG801" s="70">
        <v>3290.3500000000008</v>
      </c>
      <c r="AH801" s="31"/>
    </row>
    <row r="802" spans="3:34" x14ac:dyDescent="0.25">
      <c r="C802" s="72"/>
      <c r="D802" s="54">
        <v>793</v>
      </c>
      <c r="E802" s="70">
        <v>58351.91</v>
      </c>
      <c r="F802" s="75">
        <v>7828</v>
      </c>
      <c r="G802" s="75">
        <v>90276</v>
      </c>
      <c r="H802" s="194">
        <v>343364</v>
      </c>
      <c r="I802" s="194">
        <v>12791.44</v>
      </c>
      <c r="J802" s="75">
        <v>81753.173721494197</v>
      </c>
      <c r="K802" s="73"/>
      <c r="M802" s="72"/>
      <c r="N802" s="54">
        <v>793</v>
      </c>
      <c r="O802" s="70">
        <v>63241.05750000001</v>
      </c>
      <c r="P802" s="75">
        <v>13753</v>
      </c>
      <c r="Q802" s="75">
        <v>84351</v>
      </c>
      <c r="R802" s="194">
        <v>341679.25750000001</v>
      </c>
      <c r="S802" s="194">
        <v>6217.55</v>
      </c>
      <c r="T802" s="70">
        <v>1684.7425000000007</v>
      </c>
      <c r="U802" s="80">
        <v>81753.173721494197</v>
      </c>
      <c r="V802" s="73"/>
      <c r="X802" s="30"/>
      <c r="Y802" s="54">
        <v>793</v>
      </c>
      <c r="Z802" s="70">
        <v>32312.650000000023</v>
      </c>
      <c r="AA802" s="75">
        <v>9061</v>
      </c>
      <c r="AB802" s="75">
        <v>8086.7000000000007</v>
      </c>
      <c r="AC802" s="75">
        <v>72780.3</v>
      </c>
      <c r="AD802" s="194">
        <v>311576.65000000002</v>
      </c>
      <c r="AE802" s="194">
        <v>7043.35</v>
      </c>
      <c r="AF802" s="76">
        <v>0.1</v>
      </c>
      <c r="AG802" s="70">
        <v>3171.3500000000008</v>
      </c>
      <c r="AH802" s="31"/>
    </row>
    <row r="803" spans="3:34" x14ac:dyDescent="0.25">
      <c r="C803" s="72"/>
      <c r="D803" s="54">
        <v>794</v>
      </c>
      <c r="E803" s="70">
        <v>58351.91</v>
      </c>
      <c r="F803" s="75">
        <v>4906</v>
      </c>
      <c r="G803" s="75">
        <v>93198</v>
      </c>
      <c r="H803" s="194">
        <v>343364</v>
      </c>
      <c r="I803" s="194">
        <v>12791.44</v>
      </c>
      <c r="J803" s="75">
        <v>81753.173721494197</v>
      </c>
      <c r="K803" s="73"/>
      <c r="M803" s="72"/>
      <c r="N803" s="54">
        <v>794</v>
      </c>
      <c r="O803" s="70">
        <v>35385.120000000017</v>
      </c>
      <c r="P803" s="75">
        <v>8908</v>
      </c>
      <c r="Q803" s="75">
        <v>81020</v>
      </c>
      <c r="R803" s="194">
        <v>313656.77</v>
      </c>
      <c r="S803" s="194">
        <v>6051</v>
      </c>
      <c r="T803" s="70">
        <v>1091.2300000000005</v>
      </c>
      <c r="U803" s="80">
        <v>81753.173721494197</v>
      </c>
      <c r="V803" s="73"/>
      <c r="X803" s="30"/>
      <c r="Y803" s="54">
        <v>794</v>
      </c>
      <c r="Z803" s="70">
        <v>46087.150000000009</v>
      </c>
      <c r="AA803" s="75">
        <v>10158</v>
      </c>
      <c r="AB803" s="75">
        <v>8385.8000000000011</v>
      </c>
      <c r="AC803" s="75">
        <v>75472.2</v>
      </c>
      <c r="AD803" s="194">
        <v>325500.7</v>
      </c>
      <c r="AE803" s="194">
        <v>7192.9000000000005</v>
      </c>
      <c r="AF803" s="76">
        <v>0.1</v>
      </c>
      <c r="AG803" s="70">
        <v>3555.3000000000011</v>
      </c>
      <c r="AH803" s="31"/>
    </row>
    <row r="804" spans="3:34" x14ac:dyDescent="0.25">
      <c r="C804" s="72"/>
      <c r="D804" s="54">
        <v>795</v>
      </c>
      <c r="E804" s="70">
        <v>30635.27</v>
      </c>
      <c r="F804" s="75">
        <v>8910</v>
      </c>
      <c r="G804" s="75">
        <v>81018</v>
      </c>
      <c r="H804" s="194">
        <v>314748</v>
      </c>
      <c r="I804" s="194">
        <v>11892.08</v>
      </c>
      <c r="J804" s="75">
        <v>81753.173721494197</v>
      </c>
      <c r="K804" s="73"/>
      <c r="M804" s="72"/>
      <c r="N804" s="54">
        <v>795</v>
      </c>
      <c r="O804" s="70">
        <v>63460.659999999996</v>
      </c>
      <c r="P804" s="75">
        <v>10724</v>
      </c>
      <c r="Q804" s="75">
        <v>87380</v>
      </c>
      <c r="R804" s="194">
        <v>342050.31</v>
      </c>
      <c r="S804" s="194">
        <v>6369</v>
      </c>
      <c r="T804" s="70">
        <v>1313.6900000000005</v>
      </c>
      <c r="U804" s="80">
        <v>81753.173721494197</v>
      </c>
      <c r="V804" s="73"/>
      <c r="X804" s="30"/>
      <c r="Y804" s="54">
        <v>795</v>
      </c>
      <c r="Z804" s="70">
        <v>59070.85000000002</v>
      </c>
      <c r="AA804" s="75">
        <v>13891</v>
      </c>
      <c r="AB804" s="75">
        <v>6737.04</v>
      </c>
      <c r="AC804" s="75">
        <v>77475.960000000006</v>
      </c>
      <c r="AD804" s="194">
        <v>338502.15</v>
      </c>
      <c r="AE804" s="194">
        <v>7210.6500000000005</v>
      </c>
      <c r="AF804" s="76">
        <v>0.08</v>
      </c>
      <c r="AG804" s="70">
        <v>4861.8500000000013</v>
      </c>
      <c r="AH804" s="31"/>
    </row>
    <row r="805" spans="3:34" x14ac:dyDescent="0.25">
      <c r="C805" s="72"/>
      <c r="D805" s="54">
        <v>796</v>
      </c>
      <c r="E805" s="70">
        <v>58351.91</v>
      </c>
      <c r="F805" s="75">
        <v>8753</v>
      </c>
      <c r="G805" s="75">
        <v>89351</v>
      </c>
      <c r="H805" s="194">
        <v>343364</v>
      </c>
      <c r="I805" s="194">
        <v>12791.44</v>
      </c>
      <c r="J805" s="75">
        <v>81753.173721494197</v>
      </c>
      <c r="K805" s="73"/>
      <c r="M805" s="72"/>
      <c r="N805" s="54">
        <v>796</v>
      </c>
      <c r="O805" s="70">
        <v>63324.287500000013</v>
      </c>
      <c r="P805" s="75">
        <v>12605</v>
      </c>
      <c r="Q805" s="75">
        <v>85499</v>
      </c>
      <c r="R805" s="194">
        <v>341819.88750000001</v>
      </c>
      <c r="S805" s="194">
        <v>6274.95</v>
      </c>
      <c r="T805" s="70">
        <v>1544.1125000000006</v>
      </c>
      <c r="U805" s="80">
        <v>81753.173721494197</v>
      </c>
      <c r="V805" s="73"/>
      <c r="X805" s="30"/>
      <c r="Y805" s="54">
        <v>796</v>
      </c>
      <c r="Z805" s="70">
        <v>45179.94999999999</v>
      </c>
      <c r="AA805" s="75">
        <v>13182</v>
      </c>
      <c r="AB805" s="75">
        <v>6466.72</v>
      </c>
      <c r="AC805" s="75">
        <v>74367.28</v>
      </c>
      <c r="AD805" s="194">
        <v>324442.3</v>
      </c>
      <c r="AE805" s="194">
        <v>7041.7000000000007</v>
      </c>
      <c r="AF805" s="76">
        <v>0.08</v>
      </c>
      <c r="AG805" s="70">
        <v>4613.7000000000007</v>
      </c>
      <c r="AH805" s="31"/>
    </row>
    <row r="806" spans="3:34" x14ac:dyDescent="0.25">
      <c r="C806" s="72"/>
      <c r="D806" s="54">
        <v>797</v>
      </c>
      <c r="E806" s="70">
        <v>86065.16</v>
      </c>
      <c r="F806" s="75">
        <v>6391</v>
      </c>
      <c r="G806" s="75">
        <v>99888</v>
      </c>
      <c r="H806" s="194">
        <v>371976.5</v>
      </c>
      <c r="I806" s="194">
        <v>13690.69</v>
      </c>
      <c r="J806" s="75">
        <v>81753.173721494197</v>
      </c>
      <c r="K806" s="73"/>
      <c r="M806" s="72"/>
      <c r="N806" s="54">
        <v>797</v>
      </c>
      <c r="O806" s="70">
        <v>63170.297500000008</v>
      </c>
      <c r="P806" s="75">
        <v>14729</v>
      </c>
      <c r="Q806" s="75">
        <v>83375</v>
      </c>
      <c r="R806" s="194">
        <v>341559.69750000001</v>
      </c>
      <c r="S806" s="194">
        <v>6168.75</v>
      </c>
      <c r="T806" s="70">
        <v>1804.3025000000007</v>
      </c>
      <c r="U806" s="80">
        <v>81753.173721494197</v>
      </c>
      <c r="V806" s="73"/>
      <c r="X806" s="30"/>
      <c r="Y806" s="54">
        <v>797</v>
      </c>
      <c r="Z806" s="70">
        <v>59427.549999999988</v>
      </c>
      <c r="AA806" s="75">
        <v>12702</v>
      </c>
      <c r="AB806" s="75">
        <v>7686.1799999999994</v>
      </c>
      <c r="AC806" s="75">
        <v>77715.820000000007</v>
      </c>
      <c r="AD806" s="194">
        <v>338918.3</v>
      </c>
      <c r="AE806" s="194">
        <v>7270.1</v>
      </c>
      <c r="AF806" s="76">
        <v>0.09</v>
      </c>
      <c r="AG806" s="70">
        <v>4445.7000000000007</v>
      </c>
      <c r="AH806" s="31"/>
    </row>
    <row r="807" spans="3:34" x14ac:dyDescent="0.25">
      <c r="C807" s="72"/>
      <c r="D807" s="54">
        <v>798</v>
      </c>
      <c r="E807" s="70">
        <v>58351.91</v>
      </c>
      <c r="F807" s="75">
        <v>9014</v>
      </c>
      <c r="G807" s="75">
        <v>89090</v>
      </c>
      <c r="H807" s="194">
        <v>343364</v>
      </c>
      <c r="I807" s="194">
        <v>12791.44</v>
      </c>
      <c r="J807" s="75">
        <v>81753.173721494197</v>
      </c>
      <c r="K807" s="73"/>
      <c r="M807" s="72"/>
      <c r="N807" s="54">
        <v>798</v>
      </c>
      <c r="O807" s="70">
        <v>63237.794999999998</v>
      </c>
      <c r="P807" s="75">
        <v>13798</v>
      </c>
      <c r="Q807" s="75">
        <v>84306</v>
      </c>
      <c r="R807" s="194">
        <v>341673.745</v>
      </c>
      <c r="S807" s="194">
        <v>6215.3</v>
      </c>
      <c r="T807" s="70">
        <v>1690.2550000000008</v>
      </c>
      <c r="U807" s="80">
        <v>81753.173721494197</v>
      </c>
      <c r="V807" s="73"/>
      <c r="X807" s="30"/>
      <c r="Y807" s="54">
        <v>798</v>
      </c>
      <c r="Z807" s="70">
        <v>31242.849999999988</v>
      </c>
      <c r="AA807" s="75">
        <v>12627</v>
      </c>
      <c r="AB807" s="75">
        <v>6184.08</v>
      </c>
      <c r="AC807" s="75">
        <v>71116.92</v>
      </c>
      <c r="AD807" s="194">
        <v>310328.55</v>
      </c>
      <c r="AE807" s="194">
        <v>6865.05</v>
      </c>
      <c r="AF807" s="76">
        <v>0.08</v>
      </c>
      <c r="AG807" s="70">
        <v>4419.4500000000007</v>
      </c>
      <c r="AH807" s="31"/>
    </row>
    <row r="808" spans="3:34" x14ac:dyDescent="0.25">
      <c r="C808" s="72"/>
      <c r="D808" s="54">
        <v>799</v>
      </c>
      <c r="E808" s="70">
        <v>58351.91</v>
      </c>
      <c r="F808" s="75">
        <v>5906</v>
      </c>
      <c r="G808" s="75">
        <v>92198</v>
      </c>
      <c r="H808" s="194">
        <v>343364</v>
      </c>
      <c r="I808" s="194">
        <v>12791.44</v>
      </c>
      <c r="J808" s="75">
        <v>81753.173721494197</v>
      </c>
      <c r="K808" s="73"/>
      <c r="M808" s="72"/>
      <c r="N808" s="54">
        <v>799</v>
      </c>
      <c r="O808" s="70">
        <v>63455.439999999988</v>
      </c>
      <c r="P808" s="75">
        <v>10796</v>
      </c>
      <c r="Q808" s="75">
        <v>87308</v>
      </c>
      <c r="R808" s="194">
        <v>342041.49</v>
      </c>
      <c r="S808" s="194">
        <v>6365.4000000000005</v>
      </c>
      <c r="T808" s="70">
        <v>1322.5100000000007</v>
      </c>
      <c r="U808" s="80">
        <v>81753.173721494197</v>
      </c>
      <c r="V808" s="73"/>
      <c r="X808" s="30"/>
      <c r="Y808" s="54">
        <v>799</v>
      </c>
      <c r="Z808" s="70">
        <v>45743.650000000009</v>
      </c>
      <c r="AA808" s="75">
        <v>11303</v>
      </c>
      <c r="AB808" s="75">
        <v>7444.17</v>
      </c>
      <c r="AC808" s="75">
        <v>75268.83</v>
      </c>
      <c r="AD808" s="194">
        <v>325099.95</v>
      </c>
      <c r="AE808" s="194">
        <v>7135.6500000000005</v>
      </c>
      <c r="AF808" s="76">
        <v>0.09</v>
      </c>
      <c r="AG808" s="70">
        <v>3956.0500000000011</v>
      </c>
      <c r="AH808" s="31"/>
    </row>
    <row r="809" spans="3:34" x14ac:dyDescent="0.25">
      <c r="C809" s="72"/>
      <c r="D809" s="54">
        <v>800</v>
      </c>
      <c r="E809" s="70">
        <v>58351.91</v>
      </c>
      <c r="F809" s="75">
        <v>7846</v>
      </c>
      <c r="G809" s="75">
        <v>90258</v>
      </c>
      <c r="H809" s="194">
        <v>343364</v>
      </c>
      <c r="I809" s="194">
        <v>12791.44</v>
      </c>
      <c r="J809" s="75">
        <v>81753.173721494197</v>
      </c>
      <c r="K809" s="73"/>
      <c r="M809" s="72"/>
      <c r="N809" s="54">
        <v>800</v>
      </c>
      <c r="O809" s="70">
        <v>91288.497500000027</v>
      </c>
      <c r="P809" s="75">
        <v>15909</v>
      </c>
      <c r="Q809" s="75">
        <v>90370</v>
      </c>
      <c r="R809" s="194">
        <v>370027.64750000002</v>
      </c>
      <c r="S809" s="194">
        <v>6518.5</v>
      </c>
      <c r="T809" s="70">
        <v>1948.8525000000009</v>
      </c>
      <c r="U809" s="80">
        <v>81753.173721494197</v>
      </c>
      <c r="V809" s="73"/>
      <c r="X809" s="30"/>
      <c r="Y809" s="54">
        <v>800</v>
      </c>
      <c r="Z809" s="70">
        <v>60002.65</v>
      </c>
      <c r="AA809" s="75">
        <v>10785</v>
      </c>
      <c r="AB809" s="75">
        <v>4365.95</v>
      </c>
      <c r="AC809" s="75">
        <v>82953.05</v>
      </c>
      <c r="AD809" s="194">
        <v>339589.25</v>
      </c>
      <c r="AE809" s="194">
        <v>7365.95</v>
      </c>
      <c r="AF809" s="76">
        <v>0.05</v>
      </c>
      <c r="AG809" s="70">
        <v>3774.7500000000009</v>
      </c>
      <c r="AH809" s="31"/>
    </row>
    <row r="810" spans="3:34" x14ac:dyDescent="0.25">
      <c r="C810" s="72"/>
      <c r="D810" s="54">
        <v>801</v>
      </c>
      <c r="E810" s="70">
        <v>58351.91</v>
      </c>
      <c r="F810" s="75">
        <v>5850</v>
      </c>
      <c r="G810" s="75">
        <v>92254</v>
      </c>
      <c r="H810" s="194">
        <v>343364</v>
      </c>
      <c r="I810" s="194">
        <v>12791.44</v>
      </c>
      <c r="J810" s="75">
        <v>81753.173721494197</v>
      </c>
      <c r="K810" s="73"/>
      <c r="M810" s="72"/>
      <c r="N810" s="54">
        <v>801</v>
      </c>
      <c r="O810" s="70">
        <v>91602.93</v>
      </c>
      <c r="P810" s="75">
        <v>11572</v>
      </c>
      <c r="Q810" s="75">
        <v>94707</v>
      </c>
      <c r="R810" s="194">
        <v>370558.93</v>
      </c>
      <c r="S810" s="194">
        <v>6735.35</v>
      </c>
      <c r="T810" s="70">
        <v>1417.5700000000006</v>
      </c>
      <c r="U810" s="80">
        <v>81753.173721494197</v>
      </c>
      <c r="V810" s="73"/>
      <c r="X810" s="30"/>
      <c r="Y810" s="54">
        <v>801</v>
      </c>
      <c r="Z810" s="70">
        <v>46038.250000000022</v>
      </c>
      <c r="AA810" s="75">
        <v>10321</v>
      </c>
      <c r="AB810" s="75">
        <v>4184.75</v>
      </c>
      <c r="AC810" s="75">
        <v>79510.25</v>
      </c>
      <c r="AD810" s="194">
        <v>325443.65000000002</v>
      </c>
      <c r="AE810" s="194">
        <v>7184.75</v>
      </c>
      <c r="AF810" s="76">
        <v>0.05</v>
      </c>
      <c r="AG810" s="70">
        <v>3612.3500000000008</v>
      </c>
      <c r="AH810" s="31"/>
    </row>
    <row r="811" spans="3:34" x14ac:dyDescent="0.25">
      <c r="C811" s="72"/>
      <c r="D811" s="54">
        <v>802</v>
      </c>
      <c r="E811" s="70">
        <v>44493.59</v>
      </c>
      <c r="F811" s="75">
        <v>7420</v>
      </c>
      <c r="G811" s="75">
        <v>86596</v>
      </c>
      <c r="H811" s="194">
        <v>329056</v>
      </c>
      <c r="I811" s="194">
        <v>12341.76</v>
      </c>
      <c r="J811" s="75">
        <v>81753.173721494197</v>
      </c>
      <c r="K811" s="73"/>
      <c r="M811" s="72"/>
      <c r="N811" s="54">
        <v>802</v>
      </c>
      <c r="O811" s="70">
        <v>35259.042499999996</v>
      </c>
      <c r="P811" s="75">
        <v>10647</v>
      </c>
      <c r="Q811" s="75">
        <v>79281</v>
      </c>
      <c r="R811" s="194">
        <v>313443.74249999999</v>
      </c>
      <c r="S811" s="194">
        <v>5964.05</v>
      </c>
      <c r="T811" s="70">
        <v>1304.2575000000006</v>
      </c>
      <c r="U811" s="80">
        <v>81753.173721494197</v>
      </c>
      <c r="V811" s="73"/>
      <c r="X811" s="30"/>
      <c r="Y811" s="54">
        <v>802</v>
      </c>
      <c r="Z811" s="70">
        <v>87256.60000000002</v>
      </c>
      <c r="AA811" s="75">
        <v>13951</v>
      </c>
      <c r="AB811" s="75">
        <v>5539.6799999999994</v>
      </c>
      <c r="AC811" s="75">
        <v>86788.32</v>
      </c>
      <c r="AD811" s="194">
        <v>367093.65</v>
      </c>
      <c r="AE811" s="194">
        <v>7616.4000000000005</v>
      </c>
      <c r="AF811" s="76">
        <v>0.06</v>
      </c>
      <c r="AG811" s="70">
        <v>4882.8500000000013</v>
      </c>
      <c r="AH811" s="31"/>
    </row>
    <row r="812" spans="3:34" x14ac:dyDescent="0.25">
      <c r="C812" s="72"/>
      <c r="D812" s="54">
        <v>803</v>
      </c>
      <c r="E812" s="70">
        <v>44493.59</v>
      </c>
      <c r="F812" s="75">
        <v>9331</v>
      </c>
      <c r="G812" s="75">
        <v>84685</v>
      </c>
      <c r="H812" s="194">
        <v>329056</v>
      </c>
      <c r="I812" s="194">
        <v>12341.76</v>
      </c>
      <c r="J812" s="75">
        <v>81753.173721494197</v>
      </c>
      <c r="K812" s="73"/>
      <c r="M812" s="72"/>
      <c r="N812" s="54">
        <v>803</v>
      </c>
      <c r="O812" s="70">
        <v>63239.752499999988</v>
      </c>
      <c r="P812" s="75">
        <v>13771</v>
      </c>
      <c r="Q812" s="75">
        <v>84333</v>
      </c>
      <c r="R812" s="194">
        <v>341677.05249999999</v>
      </c>
      <c r="S812" s="194">
        <v>6216.6500000000005</v>
      </c>
      <c r="T812" s="70">
        <v>1686.9475000000007</v>
      </c>
      <c r="U812" s="80">
        <v>81753.173721494197</v>
      </c>
      <c r="V812" s="73"/>
      <c r="X812" s="30"/>
      <c r="Y812" s="54">
        <v>803</v>
      </c>
      <c r="Z812" s="70">
        <v>45730.150000000009</v>
      </c>
      <c r="AA812" s="75">
        <v>11348</v>
      </c>
      <c r="AB812" s="75">
        <v>7440.12</v>
      </c>
      <c r="AC812" s="75">
        <v>75227.88</v>
      </c>
      <c r="AD812" s="194">
        <v>325084.2</v>
      </c>
      <c r="AE812" s="194">
        <v>7133.4000000000005</v>
      </c>
      <c r="AF812" s="76">
        <v>0.09</v>
      </c>
      <c r="AG812" s="70">
        <v>3971.8000000000011</v>
      </c>
      <c r="AH812" s="31"/>
    </row>
    <row r="813" spans="3:34" x14ac:dyDescent="0.25">
      <c r="C813" s="72"/>
      <c r="D813" s="54">
        <v>804</v>
      </c>
      <c r="E813" s="70">
        <v>30635.27</v>
      </c>
      <c r="F813" s="75">
        <v>7356</v>
      </c>
      <c r="G813" s="75">
        <v>82572</v>
      </c>
      <c r="H813" s="194">
        <v>314748</v>
      </c>
      <c r="I813" s="194">
        <v>11892.08</v>
      </c>
      <c r="J813" s="75">
        <v>81753.173721494197</v>
      </c>
      <c r="K813" s="73"/>
      <c r="M813" s="72"/>
      <c r="N813" s="54">
        <v>804</v>
      </c>
      <c r="O813" s="70">
        <v>35311.749999999985</v>
      </c>
      <c r="P813" s="75">
        <v>9920</v>
      </c>
      <c r="Q813" s="75">
        <v>80008</v>
      </c>
      <c r="R813" s="194">
        <v>313532.79999999999</v>
      </c>
      <c r="S813" s="194">
        <v>6000.4</v>
      </c>
      <c r="T813" s="70">
        <v>1215.2000000000005</v>
      </c>
      <c r="U813" s="80">
        <v>81753.173721494197</v>
      </c>
      <c r="V813" s="73"/>
      <c r="X813" s="30"/>
      <c r="Y813" s="54">
        <v>804</v>
      </c>
      <c r="Z813" s="70">
        <v>44861.94999999999</v>
      </c>
      <c r="AA813" s="75">
        <v>14242</v>
      </c>
      <c r="AB813" s="75">
        <v>7179.66</v>
      </c>
      <c r="AC813" s="75">
        <v>72594.34</v>
      </c>
      <c r="AD813" s="194">
        <v>324071.3</v>
      </c>
      <c r="AE813" s="194">
        <v>6988.7000000000007</v>
      </c>
      <c r="AF813" s="76">
        <v>0.09</v>
      </c>
      <c r="AG813" s="70">
        <v>4984.7000000000016</v>
      </c>
      <c r="AH813" s="31"/>
    </row>
    <row r="814" spans="3:34" x14ac:dyDescent="0.25">
      <c r="C814" s="72"/>
      <c r="D814" s="54">
        <v>805</v>
      </c>
      <c r="E814" s="70">
        <v>44493.59</v>
      </c>
      <c r="F814" s="75">
        <v>8254</v>
      </c>
      <c r="G814" s="75">
        <v>85762</v>
      </c>
      <c r="H814" s="194">
        <v>329056</v>
      </c>
      <c r="I814" s="194">
        <v>12341.76</v>
      </c>
      <c r="J814" s="75">
        <v>81753.173721494197</v>
      </c>
      <c r="K814" s="73"/>
      <c r="M814" s="72"/>
      <c r="N814" s="54">
        <v>805</v>
      </c>
      <c r="O814" s="70">
        <v>63395.264999999999</v>
      </c>
      <c r="P814" s="75">
        <v>11626</v>
      </c>
      <c r="Q814" s="75">
        <v>86478</v>
      </c>
      <c r="R814" s="194">
        <v>341939.815</v>
      </c>
      <c r="S814" s="194">
        <v>6323.9000000000005</v>
      </c>
      <c r="T814" s="70">
        <v>1424.1850000000006</v>
      </c>
      <c r="U814" s="80">
        <v>81753.173721494197</v>
      </c>
      <c r="V814" s="73"/>
      <c r="X814" s="30"/>
      <c r="Y814" s="54">
        <v>805</v>
      </c>
      <c r="Z814" s="70">
        <v>46028.94999999999</v>
      </c>
      <c r="AA814" s="75">
        <v>10352</v>
      </c>
      <c r="AB814" s="75">
        <v>8366.4</v>
      </c>
      <c r="AC814" s="75">
        <v>75297.600000000006</v>
      </c>
      <c r="AD814" s="194">
        <v>325432.8</v>
      </c>
      <c r="AE814" s="194">
        <v>7183.2</v>
      </c>
      <c r="AF814" s="76">
        <v>0.1</v>
      </c>
      <c r="AG814" s="70">
        <v>3623.2000000000007</v>
      </c>
      <c r="AH814" s="31"/>
    </row>
    <row r="815" spans="3:34" x14ac:dyDescent="0.25">
      <c r="C815" s="72"/>
      <c r="D815" s="54">
        <v>806</v>
      </c>
      <c r="E815" s="70">
        <v>30635.27</v>
      </c>
      <c r="F815" s="75">
        <v>6348</v>
      </c>
      <c r="G815" s="75">
        <v>83580</v>
      </c>
      <c r="H815" s="194">
        <v>314748</v>
      </c>
      <c r="I815" s="194">
        <v>11892.08</v>
      </c>
      <c r="J815" s="75">
        <v>81753.173721494197</v>
      </c>
      <c r="K815" s="73"/>
      <c r="M815" s="72"/>
      <c r="N815" s="54">
        <v>806</v>
      </c>
      <c r="O815" s="70">
        <v>35377.72500000002</v>
      </c>
      <c r="P815" s="75">
        <v>9010</v>
      </c>
      <c r="Q815" s="75">
        <v>80918</v>
      </c>
      <c r="R815" s="194">
        <v>313644.27500000002</v>
      </c>
      <c r="S815" s="194">
        <v>6045.9</v>
      </c>
      <c r="T815" s="70">
        <v>1103.7250000000006</v>
      </c>
      <c r="U815" s="80">
        <v>81753.173721494197</v>
      </c>
      <c r="V815" s="73"/>
      <c r="X815" s="30"/>
      <c r="Y815" s="54">
        <v>806</v>
      </c>
      <c r="Z815" s="70">
        <v>31751.05000000001</v>
      </c>
      <c r="AA815" s="75">
        <v>10933</v>
      </c>
      <c r="AB815" s="75">
        <v>5529.6500000000005</v>
      </c>
      <c r="AC815" s="75">
        <v>73465.350000000006</v>
      </c>
      <c r="AD815" s="194">
        <v>310921.45</v>
      </c>
      <c r="AE815" s="194">
        <v>6949.75</v>
      </c>
      <c r="AF815" s="76">
        <v>7.0000000000000007E-2</v>
      </c>
      <c r="AG815" s="70">
        <v>3826.5500000000011</v>
      </c>
      <c r="AH815" s="31"/>
    </row>
    <row r="816" spans="3:34" x14ac:dyDescent="0.25">
      <c r="C816" s="72"/>
      <c r="D816" s="54">
        <v>807</v>
      </c>
      <c r="E816" s="70">
        <v>44493.59</v>
      </c>
      <c r="F816" s="75">
        <v>7448</v>
      </c>
      <c r="G816" s="75">
        <v>86568</v>
      </c>
      <c r="H816" s="194">
        <v>329056</v>
      </c>
      <c r="I816" s="194">
        <v>12341.76</v>
      </c>
      <c r="J816" s="75">
        <v>81753.173721494197</v>
      </c>
      <c r="K816" s="73"/>
      <c r="M816" s="72"/>
      <c r="N816" s="54">
        <v>807</v>
      </c>
      <c r="O816" s="70">
        <v>35121.582499999982</v>
      </c>
      <c r="P816" s="75">
        <v>12543</v>
      </c>
      <c r="Q816" s="75">
        <v>77385</v>
      </c>
      <c r="R816" s="194">
        <v>313211.48249999998</v>
      </c>
      <c r="S816" s="194">
        <v>5869.25</v>
      </c>
      <c r="T816" s="70">
        <v>1536.5175000000006</v>
      </c>
      <c r="U816" s="80">
        <v>81753.173721494197</v>
      </c>
      <c r="V816" s="73"/>
      <c r="X816" s="30"/>
      <c r="Y816" s="54">
        <v>807</v>
      </c>
      <c r="Z816" s="70">
        <v>59429.35000000002</v>
      </c>
      <c r="AA816" s="75">
        <v>12696</v>
      </c>
      <c r="AB816" s="75">
        <v>8540.8000000000011</v>
      </c>
      <c r="AC816" s="75">
        <v>76867.199999999997</v>
      </c>
      <c r="AD816" s="194">
        <v>338920.4</v>
      </c>
      <c r="AE816" s="194">
        <v>7270.4000000000005</v>
      </c>
      <c r="AF816" s="76">
        <v>0.1</v>
      </c>
      <c r="AG816" s="70">
        <v>4443.6000000000013</v>
      </c>
      <c r="AH816" s="31"/>
    </row>
    <row r="817" spans="3:34" x14ac:dyDescent="0.25">
      <c r="C817" s="72"/>
      <c r="D817" s="54">
        <v>808</v>
      </c>
      <c r="E817" s="70">
        <v>58351.91</v>
      </c>
      <c r="F817" s="75">
        <v>7939</v>
      </c>
      <c r="G817" s="75">
        <v>90165</v>
      </c>
      <c r="H817" s="194">
        <v>343364</v>
      </c>
      <c r="I817" s="194">
        <v>12791.44</v>
      </c>
      <c r="J817" s="75">
        <v>81753.173721494197</v>
      </c>
      <c r="K817" s="73"/>
      <c r="M817" s="72"/>
      <c r="N817" s="54">
        <v>808</v>
      </c>
      <c r="O817" s="70">
        <v>49314.21249999998</v>
      </c>
      <c r="P817" s="75">
        <v>11315</v>
      </c>
      <c r="Q817" s="75">
        <v>82701</v>
      </c>
      <c r="R817" s="194">
        <v>327669.91249999998</v>
      </c>
      <c r="S817" s="194">
        <v>6135.05</v>
      </c>
      <c r="T817" s="70">
        <v>1386.0875000000005</v>
      </c>
      <c r="U817" s="80">
        <v>81753.173721494197</v>
      </c>
      <c r="V817" s="73"/>
      <c r="X817" s="30"/>
      <c r="Y817" s="54">
        <v>808</v>
      </c>
      <c r="Z817" s="70">
        <v>59331.85000000002</v>
      </c>
      <c r="AA817" s="75">
        <v>13021</v>
      </c>
      <c r="AB817" s="75">
        <v>5955.81</v>
      </c>
      <c r="AC817" s="75">
        <v>79127.19</v>
      </c>
      <c r="AD817" s="194">
        <v>338806.65</v>
      </c>
      <c r="AE817" s="194">
        <v>7254.1500000000005</v>
      </c>
      <c r="AF817" s="76">
        <v>7.0000000000000007E-2</v>
      </c>
      <c r="AG817" s="70">
        <v>4557.3500000000013</v>
      </c>
      <c r="AH817" s="31"/>
    </row>
    <row r="818" spans="3:34" x14ac:dyDescent="0.25">
      <c r="C818" s="72"/>
      <c r="D818" s="54">
        <v>809</v>
      </c>
      <c r="E818" s="70">
        <v>58351.91</v>
      </c>
      <c r="F818" s="75">
        <v>4866</v>
      </c>
      <c r="G818" s="75">
        <v>93238</v>
      </c>
      <c r="H818" s="194">
        <v>343364</v>
      </c>
      <c r="I818" s="194">
        <v>12791.44</v>
      </c>
      <c r="J818" s="75">
        <v>81753.173721494197</v>
      </c>
      <c r="K818" s="73"/>
      <c r="M818" s="72"/>
      <c r="N818" s="54">
        <v>809</v>
      </c>
      <c r="O818" s="70">
        <v>91520.425000000017</v>
      </c>
      <c r="P818" s="75">
        <v>12710</v>
      </c>
      <c r="Q818" s="75">
        <v>93569</v>
      </c>
      <c r="R818" s="194">
        <v>370419.52500000002</v>
      </c>
      <c r="S818" s="194">
        <v>6678.45</v>
      </c>
      <c r="T818" s="70">
        <v>1556.9750000000006</v>
      </c>
      <c r="U818" s="80">
        <v>81753.173721494197</v>
      </c>
      <c r="V818" s="73"/>
      <c r="X818" s="30"/>
      <c r="Y818" s="54">
        <v>809</v>
      </c>
      <c r="Z818" s="70">
        <v>44952.55</v>
      </c>
      <c r="AA818" s="75">
        <v>13940</v>
      </c>
      <c r="AB818" s="75">
        <v>8007.6</v>
      </c>
      <c r="AC818" s="75">
        <v>72068.399999999994</v>
      </c>
      <c r="AD818" s="194">
        <v>324177</v>
      </c>
      <c r="AE818" s="194">
        <v>7003.8</v>
      </c>
      <c r="AF818" s="76">
        <v>0.1</v>
      </c>
      <c r="AG818" s="70">
        <v>4879.0000000000009</v>
      </c>
      <c r="AH818" s="31"/>
    </row>
    <row r="819" spans="3:34" x14ac:dyDescent="0.25">
      <c r="C819" s="72"/>
      <c r="D819" s="54">
        <v>810</v>
      </c>
      <c r="E819" s="70">
        <v>86065.16</v>
      </c>
      <c r="F819" s="75">
        <v>5386</v>
      </c>
      <c r="G819" s="75">
        <v>100893</v>
      </c>
      <c r="H819" s="194">
        <v>371976.5</v>
      </c>
      <c r="I819" s="194">
        <v>13690.69</v>
      </c>
      <c r="J819" s="75">
        <v>81753.173721494197</v>
      </c>
      <c r="K819" s="73"/>
      <c r="M819" s="72"/>
      <c r="N819" s="54">
        <v>810</v>
      </c>
      <c r="O819" s="70">
        <v>91275.592500000028</v>
      </c>
      <c r="P819" s="75">
        <v>16087</v>
      </c>
      <c r="Q819" s="75">
        <v>90192</v>
      </c>
      <c r="R819" s="194">
        <v>370005.84250000003</v>
      </c>
      <c r="S819" s="194">
        <v>6509.6</v>
      </c>
      <c r="T819" s="70">
        <v>1970.6575000000009</v>
      </c>
      <c r="U819" s="80">
        <v>81753.173721494197</v>
      </c>
      <c r="V819" s="73"/>
      <c r="X819" s="30"/>
      <c r="Y819" s="54">
        <v>810</v>
      </c>
      <c r="Z819" s="70">
        <v>60281.35000000002</v>
      </c>
      <c r="AA819" s="75">
        <v>9856</v>
      </c>
      <c r="AB819" s="75">
        <v>8824.8000000000011</v>
      </c>
      <c r="AC819" s="75">
        <v>79423.199999999997</v>
      </c>
      <c r="AD819" s="194">
        <v>339914.4</v>
      </c>
      <c r="AE819" s="194">
        <v>7412.4000000000005</v>
      </c>
      <c r="AF819" s="76">
        <v>0.1</v>
      </c>
      <c r="AG819" s="70">
        <v>3449.6000000000008</v>
      </c>
      <c r="AH819" s="31"/>
    </row>
    <row r="820" spans="3:34" x14ac:dyDescent="0.25">
      <c r="C820" s="72"/>
      <c r="D820" s="54">
        <v>811</v>
      </c>
      <c r="E820" s="70">
        <v>44493.59</v>
      </c>
      <c r="F820" s="75">
        <v>6479</v>
      </c>
      <c r="G820" s="75">
        <v>87537</v>
      </c>
      <c r="H820" s="194">
        <v>329056</v>
      </c>
      <c r="I820" s="194">
        <v>12341.76</v>
      </c>
      <c r="J820" s="75">
        <v>81753.173721494197</v>
      </c>
      <c r="K820" s="73"/>
      <c r="M820" s="72"/>
      <c r="N820" s="54">
        <v>811</v>
      </c>
      <c r="O820" s="70">
        <v>49099.177500000013</v>
      </c>
      <c r="P820" s="75">
        <v>14281</v>
      </c>
      <c r="Q820" s="75">
        <v>79735</v>
      </c>
      <c r="R820" s="194">
        <v>327306.57750000001</v>
      </c>
      <c r="S820" s="194">
        <v>5986.75</v>
      </c>
      <c r="T820" s="70">
        <v>1749.4225000000008</v>
      </c>
      <c r="U820" s="80">
        <v>81753.173721494197</v>
      </c>
      <c r="V820" s="73"/>
      <c r="X820" s="30"/>
      <c r="Y820" s="54">
        <v>811</v>
      </c>
      <c r="Z820" s="70">
        <v>32052.55000000001</v>
      </c>
      <c r="AA820" s="75">
        <v>9928</v>
      </c>
      <c r="AB820" s="75">
        <v>4000</v>
      </c>
      <c r="AC820" s="75">
        <v>76000</v>
      </c>
      <c r="AD820" s="194">
        <v>311273.2</v>
      </c>
      <c r="AE820" s="194">
        <v>7000</v>
      </c>
      <c r="AF820" s="76">
        <v>0.05</v>
      </c>
      <c r="AG820" s="70">
        <v>3474.8000000000011</v>
      </c>
      <c r="AH820" s="31"/>
    </row>
    <row r="821" spans="3:34" x14ac:dyDescent="0.25">
      <c r="C821" s="72"/>
      <c r="D821" s="54">
        <v>812</v>
      </c>
      <c r="E821" s="70">
        <v>44493.59</v>
      </c>
      <c r="F821" s="75">
        <v>4567</v>
      </c>
      <c r="G821" s="75">
        <v>89449</v>
      </c>
      <c r="H821" s="194">
        <v>329056</v>
      </c>
      <c r="I821" s="194">
        <v>12341.76</v>
      </c>
      <c r="J821" s="75">
        <v>81753.173721494197</v>
      </c>
      <c r="K821" s="73"/>
      <c r="M821" s="72"/>
      <c r="N821" s="54">
        <v>812</v>
      </c>
      <c r="O821" s="70">
        <v>49191.397500000021</v>
      </c>
      <c r="P821" s="75">
        <v>13009</v>
      </c>
      <c r="Q821" s="75">
        <v>81007</v>
      </c>
      <c r="R821" s="194">
        <v>327462.39750000002</v>
      </c>
      <c r="S821" s="194">
        <v>6050.35</v>
      </c>
      <c r="T821" s="70">
        <v>1593.6025000000006</v>
      </c>
      <c r="U821" s="80">
        <v>81753.173721494197</v>
      </c>
      <c r="V821" s="73"/>
      <c r="X821" s="30"/>
      <c r="Y821" s="54">
        <v>812</v>
      </c>
      <c r="Z821" s="70">
        <v>59974.750000000015</v>
      </c>
      <c r="AA821" s="75">
        <v>10878</v>
      </c>
      <c r="AB821" s="75">
        <v>6978.08</v>
      </c>
      <c r="AC821" s="75">
        <v>80247.92</v>
      </c>
      <c r="AD821" s="194">
        <v>339556.7</v>
      </c>
      <c r="AE821" s="194">
        <v>7361.3</v>
      </c>
      <c r="AF821" s="76">
        <v>0.08</v>
      </c>
      <c r="AG821" s="70">
        <v>3807.3000000000011</v>
      </c>
      <c r="AH821" s="31"/>
    </row>
    <row r="822" spans="3:34" x14ac:dyDescent="0.25">
      <c r="C822" s="72"/>
      <c r="D822" s="54">
        <v>813</v>
      </c>
      <c r="E822" s="70">
        <v>58351.91</v>
      </c>
      <c r="F822" s="75">
        <v>8742</v>
      </c>
      <c r="G822" s="75">
        <v>89362</v>
      </c>
      <c r="H822" s="194">
        <v>343364</v>
      </c>
      <c r="I822" s="194">
        <v>12791.44</v>
      </c>
      <c r="J822" s="75">
        <v>81753.173721494197</v>
      </c>
      <c r="K822" s="73"/>
      <c r="M822" s="72"/>
      <c r="N822" s="54">
        <v>813</v>
      </c>
      <c r="O822" s="70">
        <v>63528.592500000028</v>
      </c>
      <c r="P822" s="75">
        <v>9787</v>
      </c>
      <c r="Q822" s="75">
        <v>88317</v>
      </c>
      <c r="R822" s="194">
        <v>342165.09250000003</v>
      </c>
      <c r="S822" s="194">
        <v>6415.85</v>
      </c>
      <c r="T822" s="70">
        <v>1198.9075000000005</v>
      </c>
      <c r="U822" s="80">
        <v>81753.173721494197</v>
      </c>
      <c r="V822" s="73"/>
      <c r="X822" s="30"/>
      <c r="Y822" s="54">
        <v>813</v>
      </c>
      <c r="Z822" s="70">
        <v>44900.349999999977</v>
      </c>
      <c r="AA822" s="75">
        <v>14114</v>
      </c>
      <c r="AB822" s="75">
        <v>3995.1000000000004</v>
      </c>
      <c r="AC822" s="75">
        <v>75906.899999999994</v>
      </c>
      <c r="AD822" s="194">
        <v>324116.09999999998</v>
      </c>
      <c r="AE822" s="194">
        <v>6995.1</v>
      </c>
      <c r="AF822" s="76">
        <v>0.05</v>
      </c>
      <c r="AG822" s="70">
        <v>4939.9000000000015</v>
      </c>
      <c r="AH822" s="31"/>
    </row>
    <row r="823" spans="3:34" x14ac:dyDescent="0.25">
      <c r="C823" s="72"/>
      <c r="D823" s="54">
        <v>814</v>
      </c>
      <c r="E823" s="70">
        <v>30635.27</v>
      </c>
      <c r="F823" s="75">
        <v>6212</v>
      </c>
      <c r="G823" s="75">
        <v>83716</v>
      </c>
      <c r="H823" s="194">
        <v>314748</v>
      </c>
      <c r="I823" s="194">
        <v>11892.08</v>
      </c>
      <c r="J823" s="75">
        <v>81753.173721494197</v>
      </c>
      <c r="K823" s="73"/>
      <c r="M823" s="72"/>
      <c r="N823" s="54">
        <v>814</v>
      </c>
      <c r="O823" s="70">
        <v>63458.775000000001</v>
      </c>
      <c r="P823" s="75">
        <v>10750</v>
      </c>
      <c r="Q823" s="75">
        <v>87354</v>
      </c>
      <c r="R823" s="194">
        <v>342047.125</v>
      </c>
      <c r="S823" s="194">
        <v>6367.7</v>
      </c>
      <c r="T823" s="70">
        <v>1316.8750000000007</v>
      </c>
      <c r="U823" s="80">
        <v>81753.173721494197</v>
      </c>
      <c r="V823" s="73"/>
      <c r="X823" s="30"/>
      <c r="Y823" s="54">
        <v>814</v>
      </c>
      <c r="Z823" s="70">
        <v>60009.85000000002</v>
      </c>
      <c r="AA823" s="75">
        <v>10761</v>
      </c>
      <c r="AB823" s="75">
        <v>6114.01</v>
      </c>
      <c r="AC823" s="75">
        <v>81228.990000000005</v>
      </c>
      <c r="AD823" s="194">
        <v>339597.65</v>
      </c>
      <c r="AE823" s="194">
        <v>7367.1500000000005</v>
      </c>
      <c r="AF823" s="76">
        <v>7.0000000000000007E-2</v>
      </c>
      <c r="AG823" s="70">
        <v>3766.3500000000008</v>
      </c>
      <c r="AH823" s="31"/>
    </row>
    <row r="824" spans="3:34" x14ac:dyDescent="0.25">
      <c r="C824" s="72"/>
      <c r="D824" s="54">
        <v>815</v>
      </c>
      <c r="E824" s="70">
        <v>44493.59</v>
      </c>
      <c r="F824" s="75">
        <v>9373</v>
      </c>
      <c r="G824" s="75">
        <v>84643</v>
      </c>
      <c r="H824" s="194">
        <v>329056</v>
      </c>
      <c r="I824" s="194">
        <v>12341.76</v>
      </c>
      <c r="J824" s="75">
        <v>81753.173721494197</v>
      </c>
      <c r="K824" s="73"/>
      <c r="M824" s="72"/>
      <c r="N824" s="54">
        <v>815</v>
      </c>
      <c r="O824" s="70">
        <v>63462.76249999999</v>
      </c>
      <c r="P824" s="75">
        <v>10695</v>
      </c>
      <c r="Q824" s="75">
        <v>87409</v>
      </c>
      <c r="R824" s="194">
        <v>342053.86249999999</v>
      </c>
      <c r="S824" s="194">
        <v>6370.45</v>
      </c>
      <c r="T824" s="70">
        <v>1310.1375000000005</v>
      </c>
      <c r="U824" s="80">
        <v>81753.173721494197</v>
      </c>
      <c r="V824" s="73"/>
      <c r="X824" s="30"/>
      <c r="Y824" s="54">
        <v>815</v>
      </c>
      <c r="Z824" s="70">
        <v>32038.749999999978</v>
      </c>
      <c r="AA824" s="75">
        <v>9974</v>
      </c>
      <c r="AB824" s="75">
        <v>3997.7000000000003</v>
      </c>
      <c r="AC824" s="75">
        <v>75956.3</v>
      </c>
      <c r="AD824" s="194">
        <v>311257.09999999998</v>
      </c>
      <c r="AE824" s="194">
        <v>6997.7000000000007</v>
      </c>
      <c r="AF824" s="76">
        <v>0.05</v>
      </c>
      <c r="AG824" s="70">
        <v>3490.900000000001</v>
      </c>
      <c r="AH824" s="31"/>
    </row>
    <row r="825" spans="3:34" x14ac:dyDescent="0.25">
      <c r="C825" s="72"/>
      <c r="D825" s="54">
        <v>816</v>
      </c>
      <c r="E825" s="70">
        <v>44493.59</v>
      </c>
      <c r="F825" s="75">
        <v>7646</v>
      </c>
      <c r="G825" s="75">
        <v>86370</v>
      </c>
      <c r="H825" s="194">
        <v>329056</v>
      </c>
      <c r="I825" s="194">
        <v>12341.76</v>
      </c>
      <c r="J825" s="75">
        <v>81753.173721494197</v>
      </c>
      <c r="K825" s="73"/>
      <c r="M825" s="72"/>
      <c r="N825" s="54">
        <v>816</v>
      </c>
      <c r="O825" s="70">
        <v>63452.612500000025</v>
      </c>
      <c r="P825" s="75">
        <v>10835</v>
      </c>
      <c r="Q825" s="75">
        <v>87269</v>
      </c>
      <c r="R825" s="194">
        <v>342036.71250000002</v>
      </c>
      <c r="S825" s="194">
        <v>6363.45</v>
      </c>
      <c r="T825" s="70">
        <v>1327.2875000000006</v>
      </c>
      <c r="U825" s="80">
        <v>81753.173721494197</v>
      </c>
      <c r="V825" s="73"/>
      <c r="X825" s="30"/>
      <c r="Y825" s="54">
        <v>816</v>
      </c>
      <c r="Z825" s="70">
        <v>58813.15</v>
      </c>
      <c r="AA825" s="75">
        <v>14750</v>
      </c>
      <c r="AB825" s="75">
        <v>8335.4</v>
      </c>
      <c r="AC825" s="75">
        <v>75018.600000000006</v>
      </c>
      <c r="AD825" s="194">
        <v>338201.5</v>
      </c>
      <c r="AE825" s="194">
        <v>7167.7</v>
      </c>
      <c r="AF825" s="76">
        <v>0.1</v>
      </c>
      <c r="AG825" s="70">
        <v>5162.5000000000009</v>
      </c>
      <c r="AH825" s="31"/>
    </row>
    <row r="826" spans="3:34" x14ac:dyDescent="0.25">
      <c r="C826" s="72"/>
      <c r="D826" s="54">
        <v>817</v>
      </c>
      <c r="E826" s="70">
        <v>86065.16</v>
      </c>
      <c r="F826" s="75">
        <v>7558</v>
      </c>
      <c r="G826" s="75">
        <v>98721</v>
      </c>
      <c r="H826" s="194">
        <v>371976.5</v>
      </c>
      <c r="I826" s="194">
        <v>13690.69</v>
      </c>
      <c r="J826" s="75">
        <v>81753.173721494197</v>
      </c>
      <c r="K826" s="73"/>
      <c r="M826" s="72"/>
      <c r="N826" s="54">
        <v>817</v>
      </c>
      <c r="O826" s="70">
        <v>91439.080000000016</v>
      </c>
      <c r="P826" s="75">
        <v>13832</v>
      </c>
      <c r="Q826" s="75">
        <v>92447</v>
      </c>
      <c r="R826" s="194">
        <v>370282.08</v>
      </c>
      <c r="S826" s="194">
        <v>6622.35</v>
      </c>
      <c r="T826" s="70">
        <v>1694.4200000000008</v>
      </c>
      <c r="U826" s="80">
        <v>81753.173721494197</v>
      </c>
      <c r="V826" s="73"/>
      <c r="X826" s="30"/>
      <c r="Y826" s="54">
        <v>817</v>
      </c>
      <c r="Z826" s="70">
        <v>31243.45</v>
      </c>
      <c r="AA826" s="75">
        <v>12625</v>
      </c>
      <c r="AB826" s="75">
        <v>7730.3</v>
      </c>
      <c r="AC826" s="75">
        <v>69572.7</v>
      </c>
      <c r="AD826" s="194">
        <v>310329.25</v>
      </c>
      <c r="AE826" s="194">
        <v>6865.15</v>
      </c>
      <c r="AF826" s="76">
        <v>0.1</v>
      </c>
      <c r="AG826" s="70">
        <v>4418.7500000000009</v>
      </c>
      <c r="AH826" s="31"/>
    </row>
    <row r="827" spans="3:34" x14ac:dyDescent="0.25">
      <c r="C827" s="72"/>
      <c r="D827" s="54">
        <v>818</v>
      </c>
      <c r="E827" s="70">
        <v>30635.27</v>
      </c>
      <c r="F827" s="75">
        <v>8117</v>
      </c>
      <c r="G827" s="75">
        <v>81811</v>
      </c>
      <c r="H827" s="194">
        <v>314748</v>
      </c>
      <c r="I827" s="194">
        <v>11892.08</v>
      </c>
      <c r="J827" s="75">
        <v>81753.173721494197</v>
      </c>
      <c r="K827" s="73"/>
      <c r="M827" s="72"/>
      <c r="N827" s="54">
        <v>818</v>
      </c>
      <c r="O827" s="70">
        <v>35375.259999999987</v>
      </c>
      <c r="P827" s="75">
        <v>9044</v>
      </c>
      <c r="Q827" s="75">
        <v>80884</v>
      </c>
      <c r="R827" s="194">
        <v>313640.11</v>
      </c>
      <c r="S827" s="194">
        <v>6044.2000000000007</v>
      </c>
      <c r="T827" s="70">
        <v>1107.8900000000006</v>
      </c>
      <c r="U827" s="80">
        <v>81753.173721494197</v>
      </c>
      <c r="V827" s="73"/>
      <c r="X827" s="30"/>
      <c r="Y827" s="54">
        <v>818</v>
      </c>
      <c r="Z827" s="70">
        <v>45137.349999999977</v>
      </c>
      <c r="AA827" s="75">
        <v>13324</v>
      </c>
      <c r="AB827" s="75">
        <v>4034.6000000000004</v>
      </c>
      <c r="AC827" s="75">
        <v>76657.399999999994</v>
      </c>
      <c r="AD827" s="194">
        <v>324392.59999999998</v>
      </c>
      <c r="AE827" s="194">
        <v>7034.6</v>
      </c>
      <c r="AF827" s="76">
        <v>0.05</v>
      </c>
      <c r="AG827" s="70">
        <v>4663.4000000000015</v>
      </c>
      <c r="AH827" s="31"/>
    </row>
    <row r="828" spans="3:34" x14ac:dyDescent="0.25">
      <c r="C828" s="72"/>
      <c r="D828" s="54">
        <v>819</v>
      </c>
      <c r="E828" s="70">
        <v>44493.59</v>
      </c>
      <c r="F828" s="75">
        <v>8452</v>
      </c>
      <c r="G828" s="75">
        <v>85564</v>
      </c>
      <c r="H828" s="194">
        <v>329056</v>
      </c>
      <c r="I828" s="194">
        <v>12341.76</v>
      </c>
      <c r="J828" s="75">
        <v>81753.173721494197</v>
      </c>
      <c r="K828" s="73"/>
      <c r="M828" s="72"/>
      <c r="N828" s="54">
        <v>819</v>
      </c>
      <c r="O828" s="70">
        <v>49111.937500000015</v>
      </c>
      <c r="P828" s="75">
        <v>14105</v>
      </c>
      <c r="Q828" s="75">
        <v>79911</v>
      </c>
      <c r="R828" s="194">
        <v>327328.13750000001</v>
      </c>
      <c r="S828" s="194">
        <v>5995.55</v>
      </c>
      <c r="T828" s="70">
        <v>1727.8625000000009</v>
      </c>
      <c r="U828" s="80">
        <v>81753.173721494197</v>
      </c>
      <c r="V828" s="73"/>
      <c r="X828" s="30"/>
      <c r="Y828" s="54">
        <v>819</v>
      </c>
      <c r="Z828" s="70">
        <v>32361.849999999988</v>
      </c>
      <c r="AA828" s="75">
        <v>8897</v>
      </c>
      <c r="AB828" s="75">
        <v>5672.170000000001</v>
      </c>
      <c r="AC828" s="75">
        <v>75358.83</v>
      </c>
      <c r="AD828" s="194">
        <v>311634.05</v>
      </c>
      <c r="AE828" s="194">
        <v>7051.55</v>
      </c>
      <c r="AF828" s="76">
        <v>7.0000000000000007E-2</v>
      </c>
      <c r="AG828" s="70">
        <v>3113.9500000000007</v>
      </c>
      <c r="AH828" s="31"/>
    </row>
    <row r="829" spans="3:34" x14ac:dyDescent="0.25">
      <c r="C829" s="72"/>
      <c r="D829" s="54">
        <v>820</v>
      </c>
      <c r="E829" s="70">
        <v>86065.16</v>
      </c>
      <c r="F829" s="75">
        <v>10799</v>
      </c>
      <c r="G829" s="75">
        <v>95480</v>
      </c>
      <c r="H829" s="194">
        <v>371976.5</v>
      </c>
      <c r="I829" s="194">
        <v>13690.69</v>
      </c>
      <c r="J829" s="75">
        <v>81753.173721494197</v>
      </c>
      <c r="K829" s="73"/>
      <c r="M829" s="72"/>
      <c r="N829" s="54">
        <v>820</v>
      </c>
      <c r="O829" s="70">
        <v>35248.964999999967</v>
      </c>
      <c r="P829" s="75">
        <v>10786</v>
      </c>
      <c r="Q829" s="75">
        <v>79142</v>
      </c>
      <c r="R829" s="194">
        <v>313426.71499999997</v>
      </c>
      <c r="S829" s="194">
        <v>5957.1</v>
      </c>
      <c r="T829" s="70">
        <v>1321.2850000000005</v>
      </c>
      <c r="U829" s="80">
        <v>81753.173721494197</v>
      </c>
      <c r="V829" s="73"/>
      <c r="X829" s="30"/>
      <c r="Y829" s="54">
        <v>820</v>
      </c>
      <c r="Z829" s="70">
        <v>44847.849999999977</v>
      </c>
      <c r="AA829" s="75">
        <v>14289</v>
      </c>
      <c r="AB829" s="75">
        <v>7175.4299999999994</v>
      </c>
      <c r="AC829" s="75">
        <v>72551.570000000007</v>
      </c>
      <c r="AD829" s="194">
        <v>324054.84999999998</v>
      </c>
      <c r="AE829" s="194">
        <v>6986.35</v>
      </c>
      <c r="AF829" s="76">
        <v>0.09</v>
      </c>
      <c r="AG829" s="70">
        <v>5001.1500000000015</v>
      </c>
      <c r="AH829" s="31"/>
    </row>
    <row r="830" spans="3:34" x14ac:dyDescent="0.25">
      <c r="C830" s="72"/>
      <c r="D830" s="54">
        <v>821</v>
      </c>
      <c r="E830" s="70">
        <v>44493.59</v>
      </c>
      <c r="F830" s="75">
        <v>6483</v>
      </c>
      <c r="G830" s="75">
        <v>87533</v>
      </c>
      <c r="H830" s="194">
        <v>329056</v>
      </c>
      <c r="I830" s="194">
        <v>12341.76</v>
      </c>
      <c r="J830" s="75">
        <v>81753.173721494197</v>
      </c>
      <c r="K830" s="73"/>
      <c r="M830" s="72"/>
      <c r="N830" s="54">
        <v>821</v>
      </c>
      <c r="O830" s="70">
        <v>49382.942499999983</v>
      </c>
      <c r="P830" s="75">
        <v>10367</v>
      </c>
      <c r="Q830" s="75">
        <v>83649</v>
      </c>
      <c r="R830" s="194">
        <v>327786.04249999998</v>
      </c>
      <c r="S830" s="194">
        <v>6182.45</v>
      </c>
      <c r="T830" s="70">
        <v>1269.9575000000007</v>
      </c>
      <c r="U830" s="80">
        <v>81753.173721494197</v>
      </c>
      <c r="V830" s="73"/>
      <c r="X830" s="30"/>
      <c r="Y830" s="54">
        <v>821</v>
      </c>
      <c r="Z830" s="70">
        <v>32092.150000000023</v>
      </c>
      <c r="AA830" s="75">
        <v>9796</v>
      </c>
      <c r="AB830" s="75">
        <v>6410.56</v>
      </c>
      <c r="AC830" s="75">
        <v>73721.440000000002</v>
      </c>
      <c r="AD830" s="194">
        <v>311319.40000000002</v>
      </c>
      <c r="AE830" s="194">
        <v>7006.6</v>
      </c>
      <c r="AF830" s="76">
        <v>0.08</v>
      </c>
      <c r="AG830" s="70">
        <v>3428.6000000000008</v>
      </c>
      <c r="AH830" s="31"/>
    </row>
    <row r="831" spans="3:34" x14ac:dyDescent="0.25">
      <c r="C831" s="72"/>
      <c r="D831" s="54">
        <v>822</v>
      </c>
      <c r="E831" s="70">
        <v>58351.91</v>
      </c>
      <c r="F831" s="75">
        <v>5014</v>
      </c>
      <c r="G831" s="75">
        <v>93090</v>
      </c>
      <c r="H831" s="194">
        <v>343364</v>
      </c>
      <c r="I831" s="194">
        <v>12791.44</v>
      </c>
      <c r="J831" s="75">
        <v>81753.173721494197</v>
      </c>
      <c r="K831" s="73"/>
      <c r="M831" s="72"/>
      <c r="N831" s="54">
        <v>822</v>
      </c>
      <c r="O831" s="70">
        <v>49240.697500000009</v>
      </c>
      <c r="P831" s="75">
        <v>12329</v>
      </c>
      <c r="Q831" s="75">
        <v>81687</v>
      </c>
      <c r="R831" s="194">
        <v>327545.69750000001</v>
      </c>
      <c r="S831" s="194">
        <v>6084.35</v>
      </c>
      <c r="T831" s="70">
        <v>1510.3025000000007</v>
      </c>
      <c r="U831" s="80">
        <v>81753.173721494197</v>
      </c>
      <c r="V831" s="73"/>
      <c r="X831" s="30"/>
      <c r="Y831" s="54">
        <v>822</v>
      </c>
      <c r="Z831" s="70">
        <v>60329.949999999975</v>
      </c>
      <c r="AA831" s="75">
        <v>9694</v>
      </c>
      <c r="AB831" s="75">
        <v>7956.9</v>
      </c>
      <c r="AC831" s="75">
        <v>80453.100000000006</v>
      </c>
      <c r="AD831" s="194">
        <v>339971.1</v>
      </c>
      <c r="AE831" s="194">
        <v>7420.5</v>
      </c>
      <c r="AF831" s="76">
        <v>0.09</v>
      </c>
      <c r="AG831" s="70">
        <v>3392.900000000001</v>
      </c>
      <c r="AH831" s="31"/>
    </row>
    <row r="832" spans="3:34" x14ac:dyDescent="0.25">
      <c r="C832" s="72"/>
      <c r="D832" s="54">
        <v>823</v>
      </c>
      <c r="E832" s="70">
        <v>30635.27</v>
      </c>
      <c r="F832" s="75">
        <v>5449</v>
      </c>
      <c r="G832" s="75">
        <v>84479</v>
      </c>
      <c r="H832" s="194">
        <v>314748</v>
      </c>
      <c r="I832" s="194">
        <v>11892.08</v>
      </c>
      <c r="J832" s="75">
        <v>81753.173721494197</v>
      </c>
      <c r="K832" s="73"/>
      <c r="M832" s="72"/>
      <c r="N832" s="54">
        <v>823</v>
      </c>
      <c r="O832" s="70">
        <v>49187.192499999983</v>
      </c>
      <c r="P832" s="75">
        <v>13067</v>
      </c>
      <c r="Q832" s="75">
        <v>80949</v>
      </c>
      <c r="R832" s="194">
        <v>327455.29249999998</v>
      </c>
      <c r="S832" s="194">
        <v>6047.4500000000007</v>
      </c>
      <c r="T832" s="70">
        <v>1600.7075000000007</v>
      </c>
      <c r="U832" s="80">
        <v>81753.173721494197</v>
      </c>
      <c r="V832" s="73"/>
      <c r="X832" s="30"/>
      <c r="Y832" s="54">
        <v>823</v>
      </c>
      <c r="Z832" s="70">
        <v>32007.55000000001</v>
      </c>
      <c r="AA832" s="75">
        <v>10078</v>
      </c>
      <c r="AB832" s="75">
        <v>3992.5</v>
      </c>
      <c r="AC832" s="75">
        <v>75857.5</v>
      </c>
      <c r="AD832" s="194">
        <v>311220.7</v>
      </c>
      <c r="AE832" s="194">
        <v>6992.5</v>
      </c>
      <c r="AF832" s="76">
        <v>0.05</v>
      </c>
      <c r="AG832" s="70">
        <v>3527.3000000000011</v>
      </c>
      <c r="AH832" s="31"/>
    </row>
    <row r="833" spans="3:34" x14ac:dyDescent="0.25">
      <c r="C833" s="72"/>
      <c r="D833" s="54">
        <v>824</v>
      </c>
      <c r="E833" s="70">
        <v>30635.27</v>
      </c>
      <c r="F833" s="75">
        <v>8153</v>
      </c>
      <c r="G833" s="75">
        <v>81775</v>
      </c>
      <c r="H833" s="194">
        <v>314748</v>
      </c>
      <c r="I833" s="194">
        <v>11892.08</v>
      </c>
      <c r="J833" s="75">
        <v>81753.173721494197</v>
      </c>
      <c r="K833" s="73"/>
      <c r="M833" s="72"/>
      <c r="N833" s="54">
        <v>824</v>
      </c>
      <c r="O833" s="70">
        <v>35115.492500000008</v>
      </c>
      <c r="P833" s="75">
        <v>12627</v>
      </c>
      <c r="Q833" s="75">
        <v>77301</v>
      </c>
      <c r="R833" s="194">
        <v>313201.1925</v>
      </c>
      <c r="S833" s="194">
        <v>5865.05</v>
      </c>
      <c r="T833" s="70">
        <v>1546.8075000000006</v>
      </c>
      <c r="U833" s="80">
        <v>81753.173721494197</v>
      </c>
      <c r="V833" s="73"/>
      <c r="X833" s="30"/>
      <c r="Y833" s="54">
        <v>824</v>
      </c>
      <c r="Z833" s="70">
        <v>46321.150000000009</v>
      </c>
      <c r="AA833" s="75">
        <v>9378</v>
      </c>
      <c r="AB833" s="75">
        <v>4231.9000000000005</v>
      </c>
      <c r="AC833" s="75">
        <v>80406.100000000006</v>
      </c>
      <c r="AD833" s="194">
        <v>325773.7</v>
      </c>
      <c r="AE833" s="194">
        <v>7231.9000000000005</v>
      </c>
      <c r="AF833" s="76">
        <v>0.05</v>
      </c>
      <c r="AG833" s="70">
        <v>3282.3000000000006</v>
      </c>
      <c r="AH833" s="31"/>
    </row>
    <row r="834" spans="3:34" x14ac:dyDescent="0.25">
      <c r="C834" s="72"/>
      <c r="D834" s="54">
        <v>825</v>
      </c>
      <c r="E834" s="70">
        <v>30635.27</v>
      </c>
      <c r="F834" s="75">
        <v>8980</v>
      </c>
      <c r="G834" s="75">
        <v>80948</v>
      </c>
      <c r="H834" s="194">
        <v>314748</v>
      </c>
      <c r="I834" s="194">
        <v>11892.08</v>
      </c>
      <c r="J834" s="75">
        <v>81753.173721494197</v>
      </c>
      <c r="K834" s="73"/>
      <c r="M834" s="72"/>
      <c r="N834" s="54">
        <v>825</v>
      </c>
      <c r="O834" s="70">
        <v>35121.147499999999</v>
      </c>
      <c r="P834" s="75">
        <v>12549</v>
      </c>
      <c r="Q834" s="75">
        <v>77379</v>
      </c>
      <c r="R834" s="194">
        <v>313210.7475</v>
      </c>
      <c r="S834" s="194">
        <v>5868.9500000000007</v>
      </c>
      <c r="T834" s="70">
        <v>1537.2525000000007</v>
      </c>
      <c r="U834" s="80">
        <v>81753.173721494197</v>
      </c>
      <c r="V834" s="73"/>
      <c r="X834" s="30"/>
      <c r="Y834" s="54">
        <v>825</v>
      </c>
      <c r="Z834" s="70">
        <v>60002.049999999988</v>
      </c>
      <c r="AA834" s="75">
        <v>10787</v>
      </c>
      <c r="AB834" s="75">
        <v>6112.1900000000005</v>
      </c>
      <c r="AC834" s="75">
        <v>81204.81</v>
      </c>
      <c r="AD834" s="194">
        <v>339588.55</v>
      </c>
      <c r="AE834" s="194">
        <v>7365.85</v>
      </c>
      <c r="AF834" s="76">
        <v>7.0000000000000007E-2</v>
      </c>
      <c r="AG834" s="70">
        <v>3775.4500000000012</v>
      </c>
      <c r="AH834" s="31"/>
    </row>
    <row r="835" spans="3:34" x14ac:dyDescent="0.25">
      <c r="C835" s="72"/>
      <c r="D835" s="54">
        <v>826</v>
      </c>
      <c r="E835" s="70">
        <v>30635.27</v>
      </c>
      <c r="F835" s="75">
        <v>7156</v>
      </c>
      <c r="G835" s="75">
        <v>82772</v>
      </c>
      <c r="H835" s="194">
        <v>314748</v>
      </c>
      <c r="I835" s="194">
        <v>11892.08</v>
      </c>
      <c r="J835" s="75">
        <v>81753.173721494197</v>
      </c>
      <c r="K835" s="73"/>
      <c r="M835" s="72"/>
      <c r="N835" s="54">
        <v>826</v>
      </c>
      <c r="O835" s="70">
        <v>63323.634999999973</v>
      </c>
      <c r="P835" s="75">
        <v>12614</v>
      </c>
      <c r="Q835" s="75">
        <v>85490</v>
      </c>
      <c r="R835" s="194">
        <v>341818.78499999997</v>
      </c>
      <c r="S835" s="194">
        <v>6274.5</v>
      </c>
      <c r="T835" s="70">
        <v>1545.2150000000006</v>
      </c>
      <c r="U835" s="80">
        <v>81753.173721494197</v>
      </c>
      <c r="V835" s="73"/>
      <c r="X835" s="30"/>
      <c r="Y835" s="54">
        <v>826</v>
      </c>
      <c r="Z835" s="70">
        <v>31012.150000000023</v>
      </c>
      <c r="AA835" s="75">
        <v>13396</v>
      </c>
      <c r="AB835" s="75">
        <v>7653.2000000000007</v>
      </c>
      <c r="AC835" s="75">
        <v>68878.8</v>
      </c>
      <c r="AD835" s="194">
        <v>310059.40000000002</v>
      </c>
      <c r="AE835" s="194">
        <v>6826.6</v>
      </c>
      <c r="AF835" s="76">
        <v>0.1</v>
      </c>
      <c r="AG835" s="70">
        <v>4688.6000000000013</v>
      </c>
      <c r="AH835" s="31"/>
    </row>
    <row r="836" spans="3:34" x14ac:dyDescent="0.25">
      <c r="C836" s="72"/>
      <c r="D836" s="54">
        <v>827</v>
      </c>
      <c r="E836" s="70">
        <v>44493.59</v>
      </c>
      <c r="F836" s="75">
        <v>5557</v>
      </c>
      <c r="G836" s="75">
        <v>88459</v>
      </c>
      <c r="H836" s="194">
        <v>329056</v>
      </c>
      <c r="I836" s="194">
        <v>12341.76</v>
      </c>
      <c r="J836" s="75">
        <v>81753.173721494197</v>
      </c>
      <c r="K836" s="73"/>
      <c r="M836" s="72"/>
      <c r="N836" s="54">
        <v>827</v>
      </c>
      <c r="O836" s="70">
        <v>35052.707499999982</v>
      </c>
      <c r="P836" s="75">
        <v>13493</v>
      </c>
      <c r="Q836" s="75">
        <v>76435</v>
      </c>
      <c r="R836" s="194">
        <v>313095.10749999998</v>
      </c>
      <c r="S836" s="194">
        <v>5821.75</v>
      </c>
      <c r="T836" s="70">
        <v>1652.8925000000006</v>
      </c>
      <c r="U836" s="80">
        <v>81753.173721494197</v>
      </c>
      <c r="V836" s="73"/>
      <c r="X836" s="30"/>
      <c r="Y836" s="54">
        <v>827</v>
      </c>
      <c r="Z836" s="70">
        <v>44906.05</v>
      </c>
      <c r="AA836" s="75">
        <v>14095</v>
      </c>
      <c r="AB836" s="75">
        <v>5594.47</v>
      </c>
      <c r="AC836" s="75">
        <v>74326.53</v>
      </c>
      <c r="AD836" s="194">
        <v>324122.75</v>
      </c>
      <c r="AE836" s="194">
        <v>6996.05</v>
      </c>
      <c r="AF836" s="76">
        <v>7.0000000000000007E-2</v>
      </c>
      <c r="AG836" s="70">
        <v>4933.2500000000009</v>
      </c>
      <c r="AH836" s="31"/>
    </row>
    <row r="837" spans="3:34" x14ac:dyDescent="0.25">
      <c r="C837" s="72"/>
      <c r="D837" s="54">
        <v>828</v>
      </c>
      <c r="E837" s="70">
        <v>44493.59</v>
      </c>
      <c r="F837" s="75">
        <v>9495</v>
      </c>
      <c r="G837" s="75">
        <v>84521</v>
      </c>
      <c r="H837" s="194">
        <v>329056</v>
      </c>
      <c r="I837" s="194">
        <v>12341.76</v>
      </c>
      <c r="J837" s="75">
        <v>81753.173721494197</v>
      </c>
      <c r="K837" s="73"/>
      <c r="M837" s="72"/>
      <c r="N837" s="54">
        <v>828</v>
      </c>
      <c r="O837" s="70">
        <v>91344.467500000028</v>
      </c>
      <c r="P837" s="75">
        <v>15137</v>
      </c>
      <c r="Q837" s="75">
        <v>91142</v>
      </c>
      <c r="R837" s="194">
        <v>370122.21750000003</v>
      </c>
      <c r="S837" s="194">
        <v>6557.1</v>
      </c>
      <c r="T837" s="70">
        <v>1854.2825000000007</v>
      </c>
      <c r="U837" s="80">
        <v>81753.173721494197</v>
      </c>
      <c r="V837" s="73"/>
      <c r="X837" s="30"/>
      <c r="Y837" s="54">
        <v>828</v>
      </c>
      <c r="Z837" s="70">
        <v>32283.849999999988</v>
      </c>
      <c r="AA837" s="75">
        <v>9157</v>
      </c>
      <c r="AB837" s="75">
        <v>6461.68</v>
      </c>
      <c r="AC837" s="75">
        <v>74309.320000000007</v>
      </c>
      <c r="AD837" s="194">
        <v>311543.05</v>
      </c>
      <c r="AE837" s="194">
        <v>7038.55</v>
      </c>
      <c r="AF837" s="76">
        <v>0.08</v>
      </c>
      <c r="AG837" s="70">
        <v>3204.9500000000007</v>
      </c>
      <c r="AH837" s="31"/>
    </row>
    <row r="838" spans="3:34" x14ac:dyDescent="0.25">
      <c r="C838" s="72"/>
      <c r="D838" s="54">
        <v>829</v>
      </c>
      <c r="E838" s="70">
        <v>44493.59</v>
      </c>
      <c r="F838" s="75">
        <v>4690</v>
      </c>
      <c r="G838" s="75">
        <v>89326</v>
      </c>
      <c r="H838" s="194">
        <v>329056</v>
      </c>
      <c r="I838" s="194">
        <v>12341.76</v>
      </c>
      <c r="J838" s="75">
        <v>81753.173721494197</v>
      </c>
      <c r="K838" s="73"/>
      <c r="M838" s="72"/>
      <c r="N838" s="54">
        <v>829</v>
      </c>
      <c r="O838" s="70">
        <v>49177.042500000018</v>
      </c>
      <c r="P838" s="75">
        <v>13207</v>
      </c>
      <c r="Q838" s="75">
        <v>80809</v>
      </c>
      <c r="R838" s="194">
        <v>327438.14250000002</v>
      </c>
      <c r="S838" s="194">
        <v>6040.4500000000007</v>
      </c>
      <c r="T838" s="70">
        <v>1617.8575000000008</v>
      </c>
      <c r="U838" s="80">
        <v>81753.173721494197</v>
      </c>
      <c r="V838" s="73"/>
      <c r="X838" s="30"/>
      <c r="Y838" s="54">
        <v>829</v>
      </c>
      <c r="Z838" s="70">
        <v>45206.349999999977</v>
      </c>
      <c r="AA838" s="75">
        <v>13094</v>
      </c>
      <c r="AB838" s="75">
        <v>4855.32</v>
      </c>
      <c r="AC838" s="75">
        <v>76066.679999999993</v>
      </c>
      <c r="AD838" s="194">
        <v>324473.09999999998</v>
      </c>
      <c r="AE838" s="194">
        <v>7046.1</v>
      </c>
      <c r="AF838" s="76">
        <v>0.06</v>
      </c>
      <c r="AG838" s="70">
        <v>4582.9000000000015</v>
      </c>
      <c r="AH838" s="31"/>
    </row>
    <row r="839" spans="3:34" x14ac:dyDescent="0.25">
      <c r="C839" s="72"/>
      <c r="D839" s="54">
        <v>830</v>
      </c>
      <c r="E839" s="70">
        <v>58351.91</v>
      </c>
      <c r="F839" s="75">
        <v>7975</v>
      </c>
      <c r="G839" s="75">
        <v>90129</v>
      </c>
      <c r="H839" s="194">
        <v>343364</v>
      </c>
      <c r="I839" s="194">
        <v>12791.44</v>
      </c>
      <c r="J839" s="75">
        <v>81753.173721494197</v>
      </c>
      <c r="K839" s="73"/>
      <c r="M839" s="72"/>
      <c r="N839" s="54">
        <v>830</v>
      </c>
      <c r="O839" s="70">
        <v>91671.732499999998</v>
      </c>
      <c r="P839" s="75">
        <v>10623</v>
      </c>
      <c r="Q839" s="75">
        <v>95656</v>
      </c>
      <c r="R839" s="194">
        <v>370675.1825</v>
      </c>
      <c r="S839" s="194">
        <v>6782.8</v>
      </c>
      <c r="T839" s="70">
        <v>1301.3175000000006</v>
      </c>
      <c r="U839" s="80">
        <v>81753.173721494197</v>
      </c>
      <c r="V839" s="73"/>
      <c r="X839" s="30"/>
      <c r="Y839" s="54">
        <v>830</v>
      </c>
      <c r="Z839" s="70">
        <v>45443.650000000009</v>
      </c>
      <c r="AA839" s="75">
        <v>12303</v>
      </c>
      <c r="AB839" s="75">
        <v>6537.04</v>
      </c>
      <c r="AC839" s="75">
        <v>75175.960000000006</v>
      </c>
      <c r="AD839" s="194">
        <v>324749.95</v>
      </c>
      <c r="AE839" s="194">
        <v>7085.65</v>
      </c>
      <c r="AF839" s="76">
        <v>0.08</v>
      </c>
      <c r="AG839" s="70">
        <v>4306.0500000000011</v>
      </c>
      <c r="AH839" s="31"/>
    </row>
    <row r="840" spans="3:34" x14ac:dyDescent="0.25">
      <c r="C840" s="72"/>
      <c r="D840" s="54">
        <v>831</v>
      </c>
      <c r="E840" s="70">
        <v>30635.27</v>
      </c>
      <c r="F840" s="75">
        <v>5361</v>
      </c>
      <c r="G840" s="75">
        <v>84567</v>
      </c>
      <c r="H840" s="194">
        <v>314748</v>
      </c>
      <c r="I840" s="194">
        <v>11892.08</v>
      </c>
      <c r="J840" s="75">
        <v>81753.173721494197</v>
      </c>
      <c r="K840" s="73"/>
      <c r="M840" s="72"/>
      <c r="N840" s="54">
        <v>831</v>
      </c>
      <c r="O840" s="70">
        <v>91516.582499999975</v>
      </c>
      <c r="P840" s="75">
        <v>12763</v>
      </c>
      <c r="Q840" s="75">
        <v>93516</v>
      </c>
      <c r="R840" s="194">
        <v>370413.03249999997</v>
      </c>
      <c r="S840" s="194">
        <v>6675.8</v>
      </c>
      <c r="T840" s="70">
        <v>1563.4675000000007</v>
      </c>
      <c r="U840" s="80">
        <v>81753.173721494197</v>
      </c>
      <c r="V840" s="73"/>
      <c r="X840" s="30"/>
      <c r="Y840" s="54">
        <v>831</v>
      </c>
      <c r="Z840" s="70">
        <v>59734.449999999975</v>
      </c>
      <c r="AA840" s="75">
        <v>11679</v>
      </c>
      <c r="AB840" s="75">
        <v>4321.25</v>
      </c>
      <c r="AC840" s="75">
        <v>82103.75</v>
      </c>
      <c r="AD840" s="194">
        <v>339276.35</v>
      </c>
      <c r="AE840" s="194">
        <v>7321.25</v>
      </c>
      <c r="AF840" s="76">
        <v>0.05</v>
      </c>
      <c r="AG840" s="70">
        <v>4087.650000000001</v>
      </c>
      <c r="AH840" s="31"/>
    </row>
    <row r="841" spans="3:34" x14ac:dyDescent="0.25">
      <c r="C841" s="72"/>
      <c r="D841" s="54">
        <v>832</v>
      </c>
      <c r="E841" s="70">
        <v>58351.91</v>
      </c>
      <c r="F841" s="75">
        <v>6881</v>
      </c>
      <c r="G841" s="75">
        <v>91223</v>
      </c>
      <c r="H841" s="194">
        <v>343364</v>
      </c>
      <c r="I841" s="194">
        <v>12791.44</v>
      </c>
      <c r="J841" s="75">
        <v>81753.173721494197</v>
      </c>
      <c r="K841" s="73"/>
      <c r="M841" s="72"/>
      <c r="N841" s="54">
        <v>832</v>
      </c>
      <c r="O841" s="70">
        <v>35373.374999999985</v>
      </c>
      <c r="P841" s="75">
        <v>9070</v>
      </c>
      <c r="Q841" s="75">
        <v>80858</v>
      </c>
      <c r="R841" s="194">
        <v>313636.92499999999</v>
      </c>
      <c r="S841" s="194">
        <v>6042.9</v>
      </c>
      <c r="T841" s="70">
        <v>1111.0750000000005</v>
      </c>
      <c r="U841" s="80">
        <v>81753.173721494197</v>
      </c>
      <c r="V841" s="73"/>
      <c r="X841" s="30"/>
      <c r="Y841" s="54">
        <v>832</v>
      </c>
      <c r="Z841" s="70">
        <v>87952.299999999988</v>
      </c>
      <c r="AA841" s="75">
        <v>11632</v>
      </c>
      <c r="AB841" s="75">
        <v>6625.2900000000009</v>
      </c>
      <c r="AC841" s="75">
        <v>88021.709999999992</v>
      </c>
      <c r="AD841" s="194">
        <v>367905.3</v>
      </c>
      <c r="AE841" s="194">
        <v>7732.35</v>
      </c>
      <c r="AF841" s="76">
        <v>7.0000000000000007E-2</v>
      </c>
      <c r="AG841" s="70">
        <v>4071.2000000000012</v>
      </c>
      <c r="AH841" s="31"/>
    </row>
    <row r="842" spans="3:34" x14ac:dyDescent="0.25">
      <c r="C842" s="72"/>
      <c r="D842" s="54">
        <v>833</v>
      </c>
      <c r="E842" s="70">
        <v>30635.27</v>
      </c>
      <c r="F842" s="75">
        <v>8201</v>
      </c>
      <c r="G842" s="75">
        <v>81727</v>
      </c>
      <c r="H842" s="194">
        <v>314748</v>
      </c>
      <c r="I842" s="194">
        <v>11892.08</v>
      </c>
      <c r="J842" s="75">
        <v>81753.173721494197</v>
      </c>
      <c r="K842" s="73"/>
      <c r="M842" s="72"/>
      <c r="N842" s="54">
        <v>833</v>
      </c>
      <c r="O842" s="70">
        <v>35372.215000000026</v>
      </c>
      <c r="P842" s="75">
        <v>9086</v>
      </c>
      <c r="Q842" s="75">
        <v>80842</v>
      </c>
      <c r="R842" s="194">
        <v>313634.96500000003</v>
      </c>
      <c r="S842" s="194">
        <v>6042.1</v>
      </c>
      <c r="T842" s="70">
        <v>1113.0350000000005</v>
      </c>
      <c r="U842" s="80">
        <v>81753.173721494197</v>
      </c>
      <c r="V842" s="73"/>
      <c r="X842" s="30"/>
      <c r="Y842" s="54">
        <v>833</v>
      </c>
      <c r="Z842" s="70">
        <v>45725.94999999999</v>
      </c>
      <c r="AA842" s="75">
        <v>11362</v>
      </c>
      <c r="AB842" s="75">
        <v>4959.24</v>
      </c>
      <c r="AC842" s="75">
        <v>77694.759999999995</v>
      </c>
      <c r="AD842" s="194">
        <v>325079.3</v>
      </c>
      <c r="AE842" s="194">
        <v>7132.7</v>
      </c>
      <c r="AF842" s="76">
        <v>0.06</v>
      </c>
      <c r="AG842" s="70">
        <v>3976.7000000000012</v>
      </c>
      <c r="AH842" s="31"/>
    </row>
    <row r="843" spans="3:34" x14ac:dyDescent="0.25">
      <c r="C843" s="72"/>
      <c r="D843" s="54">
        <v>834</v>
      </c>
      <c r="E843" s="70">
        <v>86065.16</v>
      </c>
      <c r="F843" s="75">
        <v>8523</v>
      </c>
      <c r="G843" s="75">
        <v>97756</v>
      </c>
      <c r="H843" s="194">
        <v>371976.5</v>
      </c>
      <c r="I843" s="194">
        <v>13690.69</v>
      </c>
      <c r="J843" s="75">
        <v>81753.173721494197</v>
      </c>
      <c r="K843" s="73"/>
      <c r="M843" s="72"/>
      <c r="N843" s="54">
        <v>834</v>
      </c>
      <c r="O843" s="70">
        <v>49102.294999999969</v>
      </c>
      <c r="P843" s="75">
        <v>14238</v>
      </c>
      <c r="Q843" s="75">
        <v>79778</v>
      </c>
      <c r="R843" s="194">
        <v>327311.84499999997</v>
      </c>
      <c r="S843" s="194">
        <v>5988.9</v>
      </c>
      <c r="T843" s="70">
        <v>1744.1550000000007</v>
      </c>
      <c r="U843" s="80">
        <v>81753.173721494197</v>
      </c>
      <c r="V843" s="73"/>
      <c r="X843" s="30"/>
      <c r="Y843" s="54">
        <v>834</v>
      </c>
      <c r="Z843" s="70">
        <v>44913.250000000022</v>
      </c>
      <c r="AA843" s="75">
        <v>14071</v>
      </c>
      <c r="AB843" s="75">
        <v>7994.5</v>
      </c>
      <c r="AC843" s="75">
        <v>71950.5</v>
      </c>
      <c r="AD843" s="194">
        <v>324131.15000000002</v>
      </c>
      <c r="AE843" s="194">
        <v>6997.25</v>
      </c>
      <c r="AF843" s="76">
        <v>0.1</v>
      </c>
      <c r="AG843" s="70">
        <v>4924.8500000000013</v>
      </c>
      <c r="AH843" s="31"/>
    </row>
    <row r="844" spans="3:34" x14ac:dyDescent="0.25">
      <c r="C844" s="72"/>
      <c r="D844" s="54">
        <v>835</v>
      </c>
      <c r="E844" s="70">
        <v>86065.16</v>
      </c>
      <c r="F844" s="75">
        <v>10659</v>
      </c>
      <c r="G844" s="75">
        <v>95620</v>
      </c>
      <c r="H844" s="194">
        <v>371976.5</v>
      </c>
      <c r="I844" s="194">
        <v>13690.69</v>
      </c>
      <c r="J844" s="75">
        <v>81753.173721494197</v>
      </c>
      <c r="K844" s="73"/>
      <c r="M844" s="72"/>
      <c r="N844" s="54">
        <v>835</v>
      </c>
      <c r="O844" s="70">
        <v>49445.655000000006</v>
      </c>
      <c r="P844" s="75">
        <v>9502</v>
      </c>
      <c r="Q844" s="75">
        <v>84514</v>
      </c>
      <c r="R844" s="194">
        <v>327892.005</v>
      </c>
      <c r="S844" s="194">
        <v>6225.7</v>
      </c>
      <c r="T844" s="70">
        <v>1163.9950000000006</v>
      </c>
      <c r="U844" s="80">
        <v>81753.173721494197</v>
      </c>
      <c r="V844" s="73"/>
      <c r="X844" s="30"/>
      <c r="Y844" s="54">
        <v>835</v>
      </c>
      <c r="Z844" s="70">
        <v>44975.05</v>
      </c>
      <c r="AA844" s="75">
        <v>13865</v>
      </c>
      <c r="AB844" s="75">
        <v>6412.08</v>
      </c>
      <c r="AC844" s="75">
        <v>73738.92</v>
      </c>
      <c r="AD844" s="194">
        <v>324203.25</v>
      </c>
      <c r="AE844" s="194">
        <v>7007.55</v>
      </c>
      <c r="AF844" s="76">
        <v>0.08</v>
      </c>
      <c r="AG844" s="70">
        <v>4852.7500000000009</v>
      </c>
      <c r="AH844" s="31"/>
    </row>
    <row r="845" spans="3:34" x14ac:dyDescent="0.25">
      <c r="C845" s="72"/>
      <c r="D845" s="54">
        <v>836</v>
      </c>
      <c r="E845" s="70">
        <v>58351.91</v>
      </c>
      <c r="F845" s="75">
        <v>4828</v>
      </c>
      <c r="G845" s="75">
        <v>93276</v>
      </c>
      <c r="H845" s="194">
        <v>343364</v>
      </c>
      <c r="I845" s="194">
        <v>12791.44</v>
      </c>
      <c r="J845" s="75">
        <v>81753.173721494197</v>
      </c>
      <c r="K845" s="73"/>
      <c r="M845" s="72"/>
      <c r="N845" s="54">
        <v>836</v>
      </c>
      <c r="O845" s="70">
        <v>35255.707499999982</v>
      </c>
      <c r="P845" s="75">
        <v>10693</v>
      </c>
      <c r="Q845" s="75">
        <v>79235</v>
      </c>
      <c r="R845" s="194">
        <v>313438.10749999998</v>
      </c>
      <c r="S845" s="194">
        <v>5961.75</v>
      </c>
      <c r="T845" s="70">
        <v>1309.8925000000006</v>
      </c>
      <c r="U845" s="80">
        <v>81753.173721494197</v>
      </c>
      <c r="V845" s="73"/>
      <c r="X845" s="30"/>
      <c r="Y845" s="54">
        <v>836</v>
      </c>
      <c r="Z845" s="70">
        <v>45442.150000000009</v>
      </c>
      <c r="AA845" s="75">
        <v>12308</v>
      </c>
      <c r="AB845" s="75">
        <v>6536.64</v>
      </c>
      <c r="AC845" s="75">
        <v>75171.360000000001</v>
      </c>
      <c r="AD845" s="194">
        <v>324748.2</v>
      </c>
      <c r="AE845" s="194">
        <v>7085.4</v>
      </c>
      <c r="AF845" s="76">
        <v>0.08</v>
      </c>
      <c r="AG845" s="70">
        <v>4307.8000000000011</v>
      </c>
      <c r="AH845" s="31"/>
    </row>
    <row r="846" spans="3:34" x14ac:dyDescent="0.25">
      <c r="C846" s="72"/>
      <c r="D846" s="54">
        <v>837</v>
      </c>
      <c r="E846" s="70">
        <v>44493.59</v>
      </c>
      <c r="F846" s="75">
        <v>8391</v>
      </c>
      <c r="G846" s="75">
        <v>85625</v>
      </c>
      <c r="H846" s="194">
        <v>329056</v>
      </c>
      <c r="I846" s="194">
        <v>12341.76</v>
      </c>
      <c r="J846" s="75">
        <v>81753.173721494197</v>
      </c>
      <c r="K846" s="73"/>
      <c r="M846" s="72"/>
      <c r="N846" s="54">
        <v>837</v>
      </c>
      <c r="O846" s="70">
        <v>35048.719999999994</v>
      </c>
      <c r="P846" s="75">
        <v>13548</v>
      </c>
      <c r="Q846" s="75">
        <v>76380</v>
      </c>
      <c r="R846" s="194">
        <v>313088.37</v>
      </c>
      <c r="S846" s="194">
        <v>5819</v>
      </c>
      <c r="T846" s="70">
        <v>1659.6300000000008</v>
      </c>
      <c r="U846" s="80">
        <v>81753.173721494197</v>
      </c>
      <c r="V846" s="73"/>
      <c r="X846" s="30"/>
      <c r="Y846" s="54">
        <v>837</v>
      </c>
      <c r="Z846" s="70">
        <v>45747.55</v>
      </c>
      <c r="AA846" s="75">
        <v>11290</v>
      </c>
      <c r="AB846" s="75">
        <v>5790.8200000000006</v>
      </c>
      <c r="AC846" s="75">
        <v>76935.179999999993</v>
      </c>
      <c r="AD846" s="194">
        <v>325104.5</v>
      </c>
      <c r="AE846" s="194">
        <v>7136.3</v>
      </c>
      <c r="AF846" s="76">
        <v>7.0000000000000007E-2</v>
      </c>
      <c r="AG846" s="70">
        <v>3951.5000000000009</v>
      </c>
      <c r="AH846" s="31"/>
    </row>
    <row r="847" spans="3:34" x14ac:dyDescent="0.25">
      <c r="C847" s="72"/>
      <c r="D847" s="54">
        <v>838</v>
      </c>
      <c r="E847" s="70">
        <v>30635.27</v>
      </c>
      <c r="F847" s="75">
        <v>7767</v>
      </c>
      <c r="G847" s="75">
        <v>82161</v>
      </c>
      <c r="H847" s="194">
        <v>314748</v>
      </c>
      <c r="I847" s="194">
        <v>11892.08</v>
      </c>
      <c r="J847" s="75">
        <v>81753.173721494197</v>
      </c>
      <c r="K847" s="73"/>
      <c r="M847" s="72"/>
      <c r="N847" s="54">
        <v>838</v>
      </c>
      <c r="O847" s="70">
        <v>35196.910000000011</v>
      </c>
      <c r="P847" s="75">
        <v>11504</v>
      </c>
      <c r="Q847" s="75">
        <v>78424</v>
      </c>
      <c r="R847" s="194">
        <v>313338.76</v>
      </c>
      <c r="S847" s="194">
        <v>5921.2000000000007</v>
      </c>
      <c r="T847" s="70">
        <v>1409.2400000000007</v>
      </c>
      <c r="U847" s="80">
        <v>81753.173721494197</v>
      </c>
      <c r="V847" s="73"/>
      <c r="X847" s="30"/>
      <c r="Y847" s="54">
        <v>838</v>
      </c>
      <c r="Z847" s="70">
        <v>44947.44999999999</v>
      </c>
      <c r="AA847" s="75">
        <v>13957</v>
      </c>
      <c r="AB847" s="75">
        <v>4803.54</v>
      </c>
      <c r="AC847" s="75">
        <v>75255.460000000006</v>
      </c>
      <c r="AD847" s="194">
        <v>324171.05</v>
      </c>
      <c r="AE847" s="194">
        <v>7002.9500000000007</v>
      </c>
      <c r="AF847" s="76">
        <v>0.06</v>
      </c>
      <c r="AG847" s="70">
        <v>4884.9500000000016</v>
      </c>
      <c r="AH847" s="31"/>
    </row>
    <row r="848" spans="3:34" x14ac:dyDescent="0.25">
      <c r="C848" s="72"/>
      <c r="D848" s="54">
        <v>839</v>
      </c>
      <c r="E848" s="70">
        <v>58351.91</v>
      </c>
      <c r="F848" s="75">
        <v>8832</v>
      </c>
      <c r="G848" s="75">
        <v>89272</v>
      </c>
      <c r="H848" s="194">
        <v>343364</v>
      </c>
      <c r="I848" s="194">
        <v>12791.44</v>
      </c>
      <c r="J848" s="75">
        <v>81753.173721494197</v>
      </c>
      <c r="K848" s="73"/>
      <c r="M848" s="72"/>
      <c r="N848" s="54">
        <v>839</v>
      </c>
      <c r="O848" s="70">
        <v>49393.599999999991</v>
      </c>
      <c r="P848" s="75">
        <v>10220</v>
      </c>
      <c r="Q848" s="75">
        <v>83796</v>
      </c>
      <c r="R848" s="194">
        <v>327804.05</v>
      </c>
      <c r="S848" s="194">
        <v>6189.8</v>
      </c>
      <c r="T848" s="70">
        <v>1251.9500000000005</v>
      </c>
      <c r="U848" s="80">
        <v>81753.173721494197</v>
      </c>
      <c r="V848" s="73"/>
      <c r="X848" s="30"/>
      <c r="Y848" s="54">
        <v>839</v>
      </c>
      <c r="Z848" s="70">
        <v>31529.650000000023</v>
      </c>
      <c r="AA848" s="75">
        <v>11671</v>
      </c>
      <c r="AB848" s="75">
        <v>7043.13</v>
      </c>
      <c r="AC848" s="75">
        <v>71213.87</v>
      </c>
      <c r="AD848" s="194">
        <v>310663.15000000002</v>
      </c>
      <c r="AE848" s="194">
        <v>6912.85</v>
      </c>
      <c r="AF848" s="76">
        <v>0.09</v>
      </c>
      <c r="AG848" s="70">
        <v>4084.8500000000008</v>
      </c>
      <c r="AH848" s="31"/>
    </row>
    <row r="849" spans="3:34" x14ac:dyDescent="0.25">
      <c r="C849" s="72"/>
      <c r="D849" s="54">
        <v>840</v>
      </c>
      <c r="E849" s="70">
        <v>30635.27</v>
      </c>
      <c r="F849" s="75">
        <v>9043</v>
      </c>
      <c r="G849" s="75">
        <v>80885</v>
      </c>
      <c r="H849" s="194">
        <v>314748</v>
      </c>
      <c r="I849" s="194">
        <v>11892.08</v>
      </c>
      <c r="J849" s="75">
        <v>81753.173721494197</v>
      </c>
      <c r="K849" s="73"/>
      <c r="M849" s="72"/>
      <c r="N849" s="54">
        <v>840</v>
      </c>
      <c r="O849" s="70">
        <v>49119.767499999994</v>
      </c>
      <c r="P849" s="75">
        <v>13997</v>
      </c>
      <c r="Q849" s="75">
        <v>80019</v>
      </c>
      <c r="R849" s="194">
        <v>327341.36749999999</v>
      </c>
      <c r="S849" s="194">
        <v>6000.9500000000007</v>
      </c>
      <c r="T849" s="70">
        <v>1714.6325000000008</v>
      </c>
      <c r="U849" s="80">
        <v>81753.173721494197</v>
      </c>
      <c r="V849" s="73"/>
      <c r="X849" s="30"/>
      <c r="Y849" s="54">
        <v>840</v>
      </c>
      <c r="Z849" s="70">
        <v>45471.849999999977</v>
      </c>
      <c r="AA849" s="75">
        <v>12209</v>
      </c>
      <c r="AB849" s="75">
        <v>7362.63</v>
      </c>
      <c r="AC849" s="75">
        <v>74444.37</v>
      </c>
      <c r="AD849" s="194">
        <v>324782.84999999998</v>
      </c>
      <c r="AE849" s="194">
        <v>7090.35</v>
      </c>
      <c r="AF849" s="76">
        <v>0.09</v>
      </c>
      <c r="AG849" s="70">
        <v>4273.1500000000015</v>
      </c>
      <c r="AH849" s="31"/>
    </row>
    <row r="850" spans="3:34" x14ac:dyDescent="0.25">
      <c r="C850" s="72"/>
      <c r="D850" s="54">
        <v>841</v>
      </c>
      <c r="E850" s="70">
        <v>44493.59</v>
      </c>
      <c r="F850" s="75">
        <v>8467</v>
      </c>
      <c r="G850" s="75">
        <v>85549</v>
      </c>
      <c r="H850" s="194">
        <v>329056</v>
      </c>
      <c r="I850" s="194">
        <v>12341.76</v>
      </c>
      <c r="J850" s="75">
        <v>81753.173721494197</v>
      </c>
      <c r="K850" s="73"/>
      <c r="M850" s="72"/>
      <c r="N850" s="54">
        <v>841</v>
      </c>
      <c r="O850" s="70">
        <v>49250.267499999994</v>
      </c>
      <c r="P850" s="75">
        <v>12197</v>
      </c>
      <c r="Q850" s="75">
        <v>81819</v>
      </c>
      <c r="R850" s="194">
        <v>327561.86749999999</v>
      </c>
      <c r="S850" s="194">
        <v>6090.9500000000007</v>
      </c>
      <c r="T850" s="70">
        <v>1494.1325000000006</v>
      </c>
      <c r="U850" s="80">
        <v>81753.173721494197</v>
      </c>
      <c r="V850" s="73"/>
      <c r="X850" s="30"/>
      <c r="Y850" s="54">
        <v>841</v>
      </c>
      <c r="Z850" s="70">
        <v>86653.299999999988</v>
      </c>
      <c r="AA850" s="75">
        <v>15962</v>
      </c>
      <c r="AB850" s="75">
        <v>9031.7000000000007</v>
      </c>
      <c r="AC850" s="75">
        <v>81285.3</v>
      </c>
      <c r="AD850" s="194">
        <v>366389.8</v>
      </c>
      <c r="AE850" s="194">
        <v>7515.85</v>
      </c>
      <c r="AF850" s="76">
        <v>0.1</v>
      </c>
      <c r="AG850" s="70">
        <v>5586.7000000000016</v>
      </c>
      <c r="AH850" s="31"/>
    </row>
    <row r="851" spans="3:34" x14ac:dyDescent="0.25">
      <c r="C851" s="72"/>
      <c r="D851" s="54">
        <v>842</v>
      </c>
      <c r="E851" s="70">
        <v>44493.59</v>
      </c>
      <c r="F851" s="75">
        <v>4771</v>
      </c>
      <c r="G851" s="75">
        <v>89245</v>
      </c>
      <c r="H851" s="194">
        <v>329056</v>
      </c>
      <c r="I851" s="194">
        <v>12341.76</v>
      </c>
      <c r="J851" s="75">
        <v>81753.173721494197</v>
      </c>
      <c r="K851" s="73"/>
      <c r="M851" s="72"/>
      <c r="N851" s="54">
        <v>842</v>
      </c>
      <c r="O851" s="70">
        <v>49323.492500000029</v>
      </c>
      <c r="P851" s="75">
        <v>11187</v>
      </c>
      <c r="Q851" s="75">
        <v>82829</v>
      </c>
      <c r="R851" s="194">
        <v>327685.59250000003</v>
      </c>
      <c r="S851" s="194">
        <v>6141.45</v>
      </c>
      <c r="T851" s="70">
        <v>1370.4075000000007</v>
      </c>
      <c r="U851" s="80">
        <v>81753.173721494197</v>
      </c>
      <c r="V851" s="73"/>
      <c r="X851" s="30"/>
      <c r="Y851" s="54">
        <v>842</v>
      </c>
      <c r="Z851" s="70">
        <v>32300.05000000001</v>
      </c>
      <c r="AA851" s="75">
        <v>9103</v>
      </c>
      <c r="AB851" s="75">
        <v>4849.5</v>
      </c>
      <c r="AC851" s="75">
        <v>75975.5</v>
      </c>
      <c r="AD851" s="194">
        <v>311561.95</v>
      </c>
      <c r="AE851" s="194">
        <v>7041.25</v>
      </c>
      <c r="AF851" s="76">
        <v>0.06</v>
      </c>
      <c r="AG851" s="70">
        <v>3186.0500000000006</v>
      </c>
      <c r="AH851" s="31"/>
    </row>
    <row r="852" spans="3:34" x14ac:dyDescent="0.25">
      <c r="C852" s="72"/>
      <c r="D852" s="54">
        <v>843</v>
      </c>
      <c r="E852" s="70">
        <v>44493.59</v>
      </c>
      <c r="F852" s="75">
        <v>8320</v>
      </c>
      <c r="G852" s="75">
        <v>85696</v>
      </c>
      <c r="H852" s="194">
        <v>329056</v>
      </c>
      <c r="I852" s="194">
        <v>12341.76</v>
      </c>
      <c r="J852" s="75">
        <v>81753.173721494197</v>
      </c>
      <c r="K852" s="73"/>
      <c r="M852" s="72"/>
      <c r="N852" s="54">
        <v>843</v>
      </c>
      <c r="O852" s="70">
        <v>35182.265000000014</v>
      </c>
      <c r="P852" s="75">
        <v>11706</v>
      </c>
      <c r="Q852" s="75">
        <v>78222</v>
      </c>
      <c r="R852" s="194">
        <v>313314.01500000001</v>
      </c>
      <c r="S852" s="194">
        <v>5911.1</v>
      </c>
      <c r="T852" s="70">
        <v>1433.9850000000006</v>
      </c>
      <c r="U852" s="80">
        <v>81753.173721494197</v>
      </c>
      <c r="V852" s="73"/>
      <c r="X852" s="30"/>
      <c r="Y852" s="54">
        <v>843</v>
      </c>
      <c r="Z852" s="70">
        <v>87618.4</v>
      </c>
      <c r="AA852" s="75">
        <v>12745</v>
      </c>
      <c r="AB852" s="75">
        <v>7482.72</v>
      </c>
      <c r="AC852" s="75">
        <v>86051.28</v>
      </c>
      <c r="AD852" s="194">
        <v>367515.75</v>
      </c>
      <c r="AE852" s="194">
        <v>7676.7</v>
      </c>
      <c r="AF852" s="76">
        <v>0.08</v>
      </c>
      <c r="AG852" s="70">
        <v>4460.7500000000009</v>
      </c>
      <c r="AH852" s="31"/>
    </row>
    <row r="853" spans="3:34" x14ac:dyDescent="0.25">
      <c r="C853" s="72"/>
      <c r="D853" s="54">
        <v>844</v>
      </c>
      <c r="E853" s="70">
        <v>86065.16</v>
      </c>
      <c r="F853" s="75">
        <v>5375</v>
      </c>
      <c r="G853" s="75">
        <v>100904</v>
      </c>
      <c r="H853" s="194">
        <v>371976.5</v>
      </c>
      <c r="I853" s="194">
        <v>13690.69</v>
      </c>
      <c r="J853" s="75">
        <v>81753.173721494197</v>
      </c>
      <c r="K853" s="73"/>
      <c r="M853" s="72"/>
      <c r="N853" s="54">
        <v>844</v>
      </c>
      <c r="O853" s="70">
        <v>63165.947499999973</v>
      </c>
      <c r="P853" s="75">
        <v>14789</v>
      </c>
      <c r="Q853" s="75">
        <v>83315</v>
      </c>
      <c r="R853" s="194">
        <v>341552.34749999997</v>
      </c>
      <c r="S853" s="194">
        <v>6165.75</v>
      </c>
      <c r="T853" s="70">
        <v>1811.6525000000008</v>
      </c>
      <c r="U853" s="80">
        <v>81753.173721494197</v>
      </c>
      <c r="V853" s="73"/>
      <c r="X853" s="30"/>
      <c r="Y853" s="54">
        <v>844</v>
      </c>
      <c r="Z853" s="70">
        <v>59978.049999999988</v>
      </c>
      <c r="AA853" s="75">
        <v>10867</v>
      </c>
      <c r="AB853" s="75">
        <v>6978.96</v>
      </c>
      <c r="AC853" s="75">
        <v>80258.039999999994</v>
      </c>
      <c r="AD853" s="194">
        <v>339560.55</v>
      </c>
      <c r="AE853" s="194">
        <v>7361.85</v>
      </c>
      <c r="AF853" s="76">
        <v>0.08</v>
      </c>
      <c r="AG853" s="70">
        <v>3803.4500000000012</v>
      </c>
      <c r="AH853" s="31"/>
    </row>
    <row r="854" spans="3:34" x14ac:dyDescent="0.25">
      <c r="C854" s="72"/>
      <c r="D854" s="54">
        <v>845</v>
      </c>
      <c r="E854" s="70">
        <v>44493.59</v>
      </c>
      <c r="F854" s="75">
        <v>5656</v>
      </c>
      <c r="G854" s="75">
        <v>88360</v>
      </c>
      <c r="H854" s="194">
        <v>329056</v>
      </c>
      <c r="I854" s="194">
        <v>12341.76</v>
      </c>
      <c r="J854" s="75">
        <v>81753.173721494197</v>
      </c>
      <c r="K854" s="73"/>
      <c r="M854" s="72"/>
      <c r="N854" s="54">
        <v>845</v>
      </c>
      <c r="O854" s="70">
        <v>49314.937500000015</v>
      </c>
      <c r="P854" s="75">
        <v>11305</v>
      </c>
      <c r="Q854" s="75">
        <v>82711</v>
      </c>
      <c r="R854" s="194">
        <v>327671.13750000001</v>
      </c>
      <c r="S854" s="194">
        <v>6135.55</v>
      </c>
      <c r="T854" s="70">
        <v>1384.8625000000006</v>
      </c>
      <c r="U854" s="80">
        <v>81753.173721494197</v>
      </c>
      <c r="V854" s="73"/>
      <c r="X854" s="30"/>
      <c r="Y854" s="54">
        <v>845</v>
      </c>
      <c r="Z854" s="70">
        <v>44904.250000000022</v>
      </c>
      <c r="AA854" s="75">
        <v>14101</v>
      </c>
      <c r="AB854" s="75">
        <v>5594.05</v>
      </c>
      <c r="AC854" s="75">
        <v>74320.95</v>
      </c>
      <c r="AD854" s="194">
        <v>324120.65000000002</v>
      </c>
      <c r="AE854" s="194">
        <v>6995.75</v>
      </c>
      <c r="AF854" s="76">
        <v>7.0000000000000007E-2</v>
      </c>
      <c r="AG854" s="70">
        <v>4935.3500000000013</v>
      </c>
      <c r="AH854" s="31"/>
    </row>
    <row r="855" spans="3:34" x14ac:dyDescent="0.25">
      <c r="C855" s="72"/>
      <c r="D855" s="54">
        <v>846</v>
      </c>
      <c r="E855" s="70">
        <v>86065.16</v>
      </c>
      <c r="F855" s="75">
        <v>5282</v>
      </c>
      <c r="G855" s="75">
        <v>100997</v>
      </c>
      <c r="H855" s="194">
        <v>371976.5</v>
      </c>
      <c r="I855" s="194">
        <v>13690.69</v>
      </c>
      <c r="J855" s="75">
        <v>81753.173721494197</v>
      </c>
      <c r="K855" s="73"/>
      <c r="M855" s="72"/>
      <c r="N855" s="54">
        <v>846</v>
      </c>
      <c r="O855" s="70">
        <v>91515.785000000003</v>
      </c>
      <c r="P855" s="75">
        <v>12774</v>
      </c>
      <c r="Q855" s="75">
        <v>93505</v>
      </c>
      <c r="R855" s="194">
        <v>370411.685</v>
      </c>
      <c r="S855" s="194">
        <v>6675.25</v>
      </c>
      <c r="T855" s="70">
        <v>1564.8150000000007</v>
      </c>
      <c r="U855" s="80">
        <v>81753.173721494197</v>
      </c>
      <c r="V855" s="73"/>
      <c r="X855" s="30"/>
      <c r="Y855" s="54">
        <v>846</v>
      </c>
      <c r="Z855" s="70">
        <v>58859.65</v>
      </c>
      <c r="AA855" s="75">
        <v>14595</v>
      </c>
      <c r="AB855" s="75">
        <v>4175.45</v>
      </c>
      <c r="AC855" s="75">
        <v>79333.55</v>
      </c>
      <c r="AD855" s="194">
        <v>338255.75</v>
      </c>
      <c r="AE855" s="194">
        <v>7175.45</v>
      </c>
      <c r="AF855" s="76">
        <v>0.05</v>
      </c>
      <c r="AG855" s="70">
        <v>5108.2500000000009</v>
      </c>
      <c r="AH855" s="31"/>
    </row>
    <row r="856" spans="3:34" x14ac:dyDescent="0.25">
      <c r="C856" s="72"/>
      <c r="D856" s="54">
        <v>847</v>
      </c>
      <c r="E856" s="70">
        <v>44493.59</v>
      </c>
      <c r="F856" s="75">
        <v>8550</v>
      </c>
      <c r="G856" s="75">
        <v>85466</v>
      </c>
      <c r="H856" s="194">
        <v>329056</v>
      </c>
      <c r="I856" s="194">
        <v>12341.76</v>
      </c>
      <c r="J856" s="75">
        <v>81753.173721494197</v>
      </c>
      <c r="K856" s="73"/>
      <c r="M856" s="72"/>
      <c r="N856" s="54">
        <v>847</v>
      </c>
      <c r="O856" s="70">
        <v>49120.129999999983</v>
      </c>
      <c r="P856" s="75">
        <v>13992</v>
      </c>
      <c r="Q856" s="75">
        <v>80024</v>
      </c>
      <c r="R856" s="194">
        <v>327341.98</v>
      </c>
      <c r="S856" s="194">
        <v>6001.2000000000007</v>
      </c>
      <c r="T856" s="70">
        <v>1714.0200000000007</v>
      </c>
      <c r="U856" s="80">
        <v>81753.173721494197</v>
      </c>
      <c r="V856" s="73"/>
      <c r="X856" s="30"/>
      <c r="Y856" s="54">
        <v>847</v>
      </c>
      <c r="Z856" s="70">
        <v>60248.949999999975</v>
      </c>
      <c r="AA856" s="75">
        <v>9964</v>
      </c>
      <c r="AB856" s="75">
        <v>6169.8</v>
      </c>
      <c r="AC856" s="75">
        <v>81970.2</v>
      </c>
      <c r="AD856" s="194">
        <v>339876.6</v>
      </c>
      <c r="AE856" s="194">
        <v>7407</v>
      </c>
      <c r="AF856" s="76">
        <v>7.0000000000000007E-2</v>
      </c>
      <c r="AG856" s="70">
        <v>3487.400000000001</v>
      </c>
      <c r="AH856" s="31"/>
    </row>
    <row r="857" spans="3:34" x14ac:dyDescent="0.25">
      <c r="C857" s="72"/>
      <c r="D857" s="54">
        <v>848</v>
      </c>
      <c r="E857" s="70">
        <v>44493.59</v>
      </c>
      <c r="F857" s="75">
        <v>6550</v>
      </c>
      <c r="G857" s="75">
        <v>87466</v>
      </c>
      <c r="H857" s="194">
        <v>329056</v>
      </c>
      <c r="I857" s="194">
        <v>12341.76</v>
      </c>
      <c r="J857" s="75">
        <v>81753.173721494197</v>
      </c>
      <c r="K857" s="73"/>
      <c r="M857" s="72"/>
      <c r="N857" s="54">
        <v>848</v>
      </c>
      <c r="O857" s="70">
        <v>35376.565000000002</v>
      </c>
      <c r="P857" s="75">
        <v>9026</v>
      </c>
      <c r="Q857" s="75">
        <v>80902</v>
      </c>
      <c r="R857" s="194">
        <v>313642.315</v>
      </c>
      <c r="S857" s="194">
        <v>6045.1</v>
      </c>
      <c r="T857" s="70">
        <v>1105.6850000000004</v>
      </c>
      <c r="U857" s="80">
        <v>81753.173721494197</v>
      </c>
      <c r="V857" s="73"/>
      <c r="X857" s="30"/>
      <c r="Y857" s="54">
        <v>848</v>
      </c>
      <c r="Z857" s="70">
        <v>46300.150000000009</v>
      </c>
      <c r="AA857" s="75">
        <v>9448</v>
      </c>
      <c r="AB857" s="75">
        <v>6765.4400000000005</v>
      </c>
      <c r="AC857" s="75">
        <v>77802.559999999998</v>
      </c>
      <c r="AD857" s="194">
        <v>325749.2</v>
      </c>
      <c r="AE857" s="194">
        <v>7228.4000000000005</v>
      </c>
      <c r="AF857" s="76">
        <v>0.08</v>
      </c>
      <c r="AG857" s="70">
        <v>3306.8000000000006</v>
      </c>
      <c r="AH857" s="31"/>
    </row>
    <row r="858" spans="3:34" x14ac:dyDescent="0.25">
      <c r="C858" s="72"/>
      <c r="D858" s="54">
        <v>849</v>
      </c>
      <c r="E858" s="70">
        <v>44493.59</v>
      </c>
      <c r="F858" s="75">
        <v>5698</v>
      </c>
      <c r="G858" s="75">
        <v>88318</v>
      </c>
      <c r="H858" s="194">
        <v>329056</v>
      </c>
      <c r="I858" s="194">
        <v>12341.76</v>
      </c>
      <c r="J858" s="75">
        <v>81753.173721494197</v>
      </c>
      <c r="K858" s="73"/>
      <c r="M858" s="72"/>
      <c r="N858" s="54">
        <v>849</v>
      </c>
      <c r="O858" s="70">
        <v>35378.087500000009</v>
      </c>
      <c r="P858" s="75">
        <v>9005</v>
      </c>
      <c r="Q858" s="75">
        <v>80923</v>
      </c>
      <c r="R858" s="194">
        <v>313644.88750000001</v>
      </c>
      <c r="S858" s="194">
        <v>6046.15</v>
      </c>
      <c r="T858" s="70">
        <v>1103.1125000000004</v>
      </c>
      <c r="U858" s="80">
        <v>81753.173721494197</v>
      </c>
      <c r="V858" s="73"/>
      <c r="X858" s="30"/>
      <c r="Y858" s="54">
        <v>849</v>
      </c>
      <c r="Z858" s="70">
        <v>86732.500000000015</v>
      </c>
      <c r="AA858" s="75">
        <v>15698</v>
      </c>
      <c r="AB858" s="75">
        <v>9058.1</v>
      </c>
      <c r="AC858" s="75">
        <v>81522.899999999994</v>
      </c>
      <c r="AD858" s="194">
        <v>366482.2</v>
      </c>
      <c r="AE858" s="194">
        <v>7529.05</v>
      </c>
      <c r="AF858" s="76">
        <v>0.1</v>
      </c>
      <c r="AG858" s="70">
        <v>5494.3000000000011</v>
      </c>
      <c r="AH858" s="31"/>
    </row>
    <row r="859" spans="3:34" x14ac:dyDescent="0.25">
      <c r="C859" s="72"/>
      <c r="D859" s="54">
        <v>850</v>
      </c>
      <c r="E859" s="70">
        <v>30635.27</v>
      </c>
      <c r="F859" s="75">
        <v>6349</v>
      </c>
      <c r="G859" s="75">
        <v>83579</v>
      </c>
      <c r="H859" s="194">
        <v>314748</v>
      </c>
      <c r="I859" s="194">
        <v>11892.08</v>
      </c>
      <c r="J859" s="75">
        <v>81753.173721494197</v>
      </c>
      <c r="K859" s="73"/>
      <c r="M859" s="72"/>
      <c r="N859" s="54">
        <v>850</v>
      </c>
      <c r="O859" s="70">
        <v>35251.792499999996</v>
      </c>
      <c r="P859" s="75">
        <v>10747</v>
      </c>
      <c r="Q859" s="75">
        <v>79181</v>
      </c>
      <c r="R859" s="194">
        <v>313431.49249999999</v>
      </c>
      <c r="S859" s="194">
        <v>5959.05</v>
      </c>
      <c r="T859" s="70">
        <v>1316.5075000000006</v>
      </c>
      <c r="U859" s="80">
        <v>81753.173721494197</v>
      </c>
      <c r="V859" s="73"/>
      <c r="X859" s="30"/>
      <c r="Y859" s="54">
        <v>850</v>
      </c>
      <c r="Z859" s="70">
        <v>88301.500000000015</v>
      </c>
      <c r="AA859" s="75">
        <v>10468</v>
      </c>
      <c r="AB859" s="75">
        <v>9581.1</v>
      </c>
      <c r="AC859" s="75">
        <v>86229.9</v>
      </c>
      <c r="AD859" s="194">
        <v>368312.7</v>
      </c>
      <c r="AE859" s="194">
        <v>7790.55</v>
      </c>
      <c r="AF859" s="76">
        <v>0.1</v>
      </c>
      <c r="AG859" s="70">
        <v>3663.8000000000011</v>
      </c>
      <c r="AH859" s="31"/>
    </row>
    <row r="860" spans="3:34" x14ac:dyDescent="0.25">
      <c r="C860" s="72"/>
      <c r="D860" s="54">
        <v>851</v>
      </c>
      <c r="E860" s="70">
        <v>30635.27</v>
      </c>
      <c r="F860" s="75">
        <v>8170</v>
      </c>
      <c r="G860" s="75">
        <v>81758</v>
      </c>
      <c r="H860" s="194">
        <v>314748</v>
      </c>
      <c r="I860" s="194">
        <v>11892.08</v>
      </c>
      <c r="J860" s="75">
        <v>81753.173721494197</v>
      </c>
      <c r="K860" s="73"/>
      <c r="M860" s="72"/>
      <c r="N860" s="54">
        <v>851</v>
      </c>
      <c r="O860" s="70">
        <v>35189.805000000008</v>
      </c>
      <c r="P860" s="75">
        <v>11602</v>
      </c>
      <c r="Q860" s="75">
        <v>78326</v>
      </c>
      <c r="R860" s="194">
        <v>313326.755</v>
      </c>
      <c r="S860" s="194">
        <v>5916.3</v>
      </c>
      <c r="T860" s="70">
        <v>1421.2450000000006</v>
      </c>
      <c r="U860" s="80">
        <v>81753.173721494197</v>
      </c>
      <c r="V860" s="73"/>
      <c r="X860" s="30"/>
      <c r="Y860" s="54">
        <v>851</v>
      </c>
      <c r="Z860" s="70">
        <v>46052.349999999977</v>
      </c>
      <c r="AA860" s="75">
        <v>10274</v>
      </c>
      <c r="AB860" s="75">
        <v>5861.9400000000005</v>
      </c>
      <c r="AC860" s="75">
        <v>77880.06</v>
      </c>
      <c r="AD860" s="194">
        <v>325460.09999999998</v>
      </c>
      <c r="AE860" s="194">
        <v>7187.1</v>
      </c>
      <c r="AF860" s="76">
        <v>7.0000000000000007E-2</v>
      </c>
      <c r="AG860" s="70">
        <v>3595.900000000001</v>
      </c>
      <c r="AH860" s="31"/>
    </row>
    <row r="861" spans="3:34" x14ac:dyDescent="0.25">
      <c r="C861" s="72"/>
      <c r="D861" s="54">
        <v>852</v>
      </c>
      <c r="E861" s="70">
        <v>44493.59</v>
      </c>
      <c r="F861" s="75">
        <v>7487</v>
      </c>
      <c r="G861" s="75">
        <v>86529</v>
      </c>
      <c r="H861" s="194">
        <v>329056</v>
      </c>
      <c r="I861" s="194">
        <v>12341.76</v>
      </c>
      <c r="J861" s="75">
        <v>81753.173721494197</v>
      </c>
      <c r="K861" s="73"/>
      <c r="M861" s="72"/>
      <c r="N861" s="54">
        <v>852</v>
      </c>
      <c r="O861" s="70">
        <v>63235.402500000011</v>
      </c>
      <c r="P861" s="75">
        <v>13831</v>
      </c>
      <c r="Q861" s="75">
        <v>84273</v>
      </c>
      <c r="R861" s="194">
        <v>341669.70250000001</v>
      </c>
      <c r="S861" s="194">
        <v>6213.6500000000005</v>
      </c>
      <c r="T861" s="70">
        <v>1694.2975000000008</v>
      </c>
      <c r="U861" s="80">
        <v>81753.173721494197</v>
      </c>
      <c r="V861" s="73"/>
      <c r="X861" s="30"/>
      <c r="Y861" s="54">
        <v>852</v>
      </c>
      <c r="Z861" s="70">
        <v>87238.000000000015</v>
      </c>
      <c r="AA861" s="75">
        <v>14013</v>
      </c>
      <c r="AB861" s="75">
        <v>8303.94</v>
      </c>
      <c r="AC861" s="75">
        <v>83962.06</v>
      </c>
      <c r="AD861" s="194">
        <v>367071.95</v>
      </c>
      <c r="AE861" s="194">
        <v>7613.3</v>
      </c>
      <c r="AF861" s="76">
        <v>0.09</v>
      </c>
      <c r="AG861" s="70">
        <v>4904.5500000000011</v>
      </c>
      <c r="AH861" s="31"/>
    </row>
    <row r="862" spans="3:34" x14ac:dyDescent="0.25">
      <c r="C862" s="72"/>
      <c r="D862" s="54">
        <v>853</v>
      </c>
      <c r="E862" s="70">
        <v>44493.59</v>
      </c>
      <c r="F862" s="75">
        <v>4645</v>
      </c>
      <c r="G862" s="75">
        <v>89371</v>
      </c>
      <c r="H862" s="194">
        <v>329056</v>
      </c>
      <c r="I862" s="194">
        <v>12341.76</v>
      </c>
      <c r="J862" s="75">
        <v>81753.173721494197</v>
      </c>
      <c r="K862" s="73"/>
      <c r="M862" s="72"/>
      <c r="N862" s="54">
        <v>853</v>
      </c>
      <c r="O862" s="70">
        <v>35189.732500000006</v>
      </c>
      <c r="P862" s="75">
        <v>11603</v>
      </c>
      <c r="Q862" s="75">
        <v>78325</v>
      </c>
      <c r="R862" s="194">
        <v>313326.63250000001</v>
      </c>
      <c r="S862" s="194">
        <v>5916.25</v>
      </c>
      <c r="T862" s="70">
        <v>1421.3675000000005</v>
      </c>
      <c r="U862" s="80">
        <v>81753.173721494197</v>
      </c>
      <c r="V862" s="73"/>
      <c r="X862" s="30"/>
      <c r="Y862" s="54">
        <v>853</v>
      </c>
      <c r="Z862" s="70">
        <v>59100.549999999988</v>
      </c>
      <c r="AA862" s="75">
        <v>13792</v>
      </c>
      <c r="AB862" s="75">
        <v>8431.2000000000007</v>
      </c>
      <c r="AC862" s="75">
        <v>75880.800000000003</v>
      </c>
      <c r="AD862" s="194">
        <v>338536.8</v>
      </c>
      <c r="AE862" s="194">
        <v>7215.6</v>
      </c>
      <c r="AF862" s="76">
        <v>0.1</v>
      </c>
      <c r="AG862" s="70">
        <v>4827.2000000000016</v>
      </c>
      <c r="AH862" s="31"/>
    </row>
    <row r="863" spans="3:34" x14ac:dyDescent="0.25">
      <c r="C863" s="72"/>
      <c r="D863" s="54">
        <v>854</v>
      </c>
      <c r="E863" s="70">
        <v>44493.59</v>
      </c>
      <c r="F863" s="75">
        <v>5705</v>
      </c>
      <c r="G863" s="75">
        <v>88311</v>
      </c>
      <c r="H863" s="194">
        <v>329056</v>
      </c>
      <c r="I863" s="194">
        <v>12341.76</v>
      </c>
      <c r="J863" s="75">
        <v>81753.173721494197</v>
      </c>
      <c r="K863" s="73"/>
      <c r="M863" s="72"/>
      <c r="N863" s="54">
        <v>854</v>
      </c>
      <c r="O863" s="70">
        <v>63384.534999999996</v>
      </c>
      <c r="P863" s="75">
        <v>11774</v>
      </c>
      <c r="Q863" s="75">
        <v>86330</v>
      </c>
      <c r="R863" s="194">
        <v>341921.685</v>
      </c>
      <c r="S863" s="194">
        <v>6316.5</v>
      </c>
      <c r="T863" s="70">
        <v>1442.3150000000007</v>
      </c>
      <c r="U863" s="80">
        <v>81753.173721494197</v>
      </c>
      <c r="V863" s="73"/>
      <c r="X863" s="30"/>
      <c r="Y863" s="54">
        <v>854</v>
      </c>
      <c r="Z863" s="70">
        <v>59940.85000000002</v>
      </c>
      <c r="AA863" s="75">
        <v>10991</v>
      </c>
      <c r="AB863" s="75">
        <v>8711.3000000000011</v>
      </c>
      <c r="AC863" s="75">
        <v>78401.7</v>
      </c>
      <c r="AD863" s="194">
        <v>339517.15</v>
      </c>
      <c r="AE863" s="194">
        <v>7355.6500000000005</v>
      </c>
      <c r="AF863" s="76">
        <v>0.1</v>
      </c>
      <c r="AG863" s="70">
        <v>3846.8500000000008</v>
      </c>
      <c r="AH863" s="31"/>
    </row>
    <row r="864" spans="3:34" x14ac:dyDescent="0.25">
      <c r="C864" s="72"/>
      <c r="D864" s="54">
        <v>855</v>
      </c>
      <c r="E864" s="70">
        <v>44493.59</v>
      </c>
      <c r="F864" s="75">
        <v>5697</v>
      </c>
      <c r="G864" s="75">
        <v>88319</v>
      </c>
      <c r="H864" s="194">
        <v>329056</v>
      </c>
      <c r="I864" s="194">
        <v>12341.76</v>
      </c>
      <c r="J864" s="75">
        <v>81753.173721494197</v>
      </c>
      <c r="K864" s="73"/>
      <c r="M864" s="72"/>
      <c r="N864" s="54">
        <v>855</v>
      </c>
      <c r="O864" s="70">
        <v>35314.28750000002</v>
      </c>
      <c r="P864" s="75">
        <v>9885</v>
      </c>
      <c r="Q864" s="75">
        <v>80043</v>
      </c>
      <c r="R864" s="194">
        <v>313537.08750000002</v>
      </c>
      <c r="S864" s="194">
        <v>6002.15</v>
      </c>
      <c r="T864" s="70">
        <v>1210.9125000000006</v>
      </c>
      <c r="U864" s="80">
        <v>81753.173721494197</v>
      </c>
      <c r="V864" s="73"/>
      <c r="X864" s="30"/>
      <c r="Y864" s="54">
        <v>855</v>
      </c>
      <c r="Z864" s="70">
        <v>59712.250000000015</v>
      </c>
      <c r="AA864" s="75">
        <v>11753</v>
      </c>
      <c r="AB864" s="75">
        <v>4317.55</v>
      </c>
      <c r="AC864" s="75">
        <v>82033.45</v>
      </c>
      <c r="AD864" s="194">
        <v>339250.45</v>
      </c>
      <c r="AE864" s="194">
        <v>7317.55</v>
      </c>
      <c r="AF864" s="76">
        <v>0.05</v>
      </c>
      <c r="AG864" s="70">
        <v>4113.5500000000011</v>
      </c>
      <c r="AH864" s="31"/>
    </row>
    <row r="865" spans="3:34" x14ac:dyDescent="0.25">
      <c r="C865" s="72"/>
      <c r="D865" s="54">
        <v>856</v>
      </c>
      <c r="E865" s="70">
        <v>30635.27</v>
      </c>
      <c r="F865" s="75">
        <v>8135</v>
      </c>
      <c r="G865" s="75">
        <v>81793</v>
      </c>
      <c r="H865" s="194">
        <v>314748</v>
      </c>
      <c r="I865" s="194">
        <v>11892.08</v>
      </c>
      <c r="J865" s="75">
        <v>81753.173721494197</v>
      </c>
      <c r="K865" s="73"/>
      <c r="M865" s="72"/>
      <c r="N865" s="54">
        <v>856</v>
      </c>
      <c r="O865" s="70">
        <v>35381.640000000014</v>
      </c>
      <c r="P865" s="75">
        <v>8956</v>
      </c>
      <c r="Q865" s="75">
        <v>80972</v>
      </c>
      <c r="R865" s="194">
        <v>313650.89</v>
      </c>
      <c r="S865" s="194">
        <v>6048.6</v>
      </c>
      <c r="T865" s="70">
        <v>1097.1100000000006</v>
      </c>
      <c r="U865" s="80">
        <v>81753.173721494197</v>
      </c>
      <c r="V865" s="73"/>
      <c r="X865" s="30"/>
      <c r="Y865" s="54">
        <v>856</v>
      </c>
      <c r="Z865" s="70">
        <v>59713.750000000015</v>
      </c>
      <c r="AA865" s="75">
        <v>11748</v>
      </c>
      <c r="AB865" s="75">
        <v>5181.3599999999997</v>
      </c>
      <c r="AC865" s="75">
        <v>81174.64</v>
      </c>
      <c r="AD865" s="194">
        <v>339252.2</v>
      </c>
      <c r="AE865" s="194">
        <v>7317.8</v>
      </c>
      <c r="AF865" s="76">
        <v>0.06</v>
      </c>
      <c r="AG865" s="70">
        <v>4111.8000000000011</v>
      </c>
      <c r="AH865" s="31"/>
    </row>
    <row r="866" spans="3:34" x14ac:dyDescent="0.25">
      <c r="C866" s="72"/>
      <c r="D866" s="54">
        <v>857</v>
      </c>
      <c r="E866" s="70">
        <v>86065.16</v>
      </c>
      <c r="F866" s="75">
        <v>8405</v>
      </c>
      <c r="G866" s="75">
        <v>97874</v>
      </c>
      <c r="H866" s="194">
        <v>371976.5</v>
      </c>
      <c r="I866" s="194">
        <v>13690.69</v>
      </c>
      <c r="J866" s="75">
        <v>81753.173721494197</v>
      </c>
      <c r="K866" s="73"/>
      <c r="M866" s="72"/>
      <c r="N866" s="54">
        <v>857</v>
      </c>
      <c r="O866" s="70">
        <v>91273.562499999971</v>
      </c>
      <c r="P866" s="75">
        <v>16115</v>
      </c>
      <c r="Q866" s="75">
        <v>90164</v>
      </c>
      <c r="R866" s="194">
        <v>370002.41249999998</v>
      </c>
      <c r="S866" s="194">
        <v>6508.2</v>
      </c>
      <c r="T866" s="70">
        <v>1974.0875000000008</v>
      </c>
      <c r="U866" s="80">
        <v>81753.173721494197</v>
      </c>
      <c r="V866" s="73"/>
      <c r="X866" s="30"/>
      <c r="Y866" s="54">
        <v>857</v>
      </c>
      <c r="Z866" s="70">
        <v>45208.44999999999</v>
      </c>
      <c r="AA866" s="75">
        <v>13087</v>
      </c>
      <c r="AB866" s="75">
        <v>8092.9000000000005</v>
      </c>
      <c r="AC866" s="75">
        <v>72836.100000000006</v>
      </c>
      <c r="AD866" s="194">
        <v>324475.55</v>
      </c>
      <c r="AE866" s="194">
        <v>7046.4500000000007</v>
      </c>
      <c r="AF866" s="76">
        <v>0.1</v>
      </c>
      <c r="AG866" s="70">
        <v>4580.4500000000007</v>
      </c>
      <c r="AH866" s="31"/>
    </row>
    <row r="867" spans="3:34" x14ac:dyDescent="0.25">
      <c r="C867" s="72"/>
      <c r="D867" s="54">
        <v>858</v>
      </c>
      <c r="E867" s="70">
        <v>30635.27</v>
      </c>
      <c r="F867" s="75">
        <v>4500</v>
      </c>
      <c r="G867" s="75">
        <v>85428</v>
      </c>
      <c r="H867" s="194">
        <v>314748</v>
      </c>
      <c r="I867" s="194">
        <v>11892.08</v>
      </c>
      <c r="J867" s="75">
        <v>81753.173721494197</v>
      </c>
      <c r="K867" s="73"/>
      <c r="M867" s="72"/>
      <c r="N867" s="54">
        <v>858</v>
      </c>
      <c r="O867" s="70">
        <v>63240.912500000013</v>
      </c>
      <c r="P867" s="75">
        <v>13755</v>
      </c>
      <c r="Q867" s="75">
        <v>84349</v>
      </c>
      <c r="R867" s="194">
        <v>341679.01250000001</v>
      </c>
      <c r="S867" s="194">
        <v>6217.45</v>
      </c>
      <c r="T867" s="70">
        <v>1684.9875000000006</v>
      </c>
      <c r="U867" s="80">
        <v>81753.173721494197</v>
      </c>
      <c r="V867" s="73"/>
      <c r="X867" s="30"/>
      <c r="Y867" s="54">
        <v>858</v>
      </c>
      <c r="Z867" s="70">
        <v>31244.650000000023</v>
      </c>
      <c r="AA867" s="75">
        <v>12621</v>
      </c>
      <c r="AB867" s="75">
        <v>6184.56</v>
      </c>
      <c r="AC867" s="75">
        <v>71122.44</v>
      </c>
      <c r="AD867" s="194">
        <v>310330.65000000002</v>
      </c>
      <c r="AE867" s="194">
        <v>6865.35</v>
      </c>
      <c r="AF867" s="76">
        <v>0.08</v>
      </c>
      <c r="AG867" s="70">
        <v>4417.3500000000013</v>
      </c>
      <c r="AH867" s="31"/>
    </row>
    <row r="868" spans="3:34" x14ac:dyDescent="0.25">
      <c r="C868" s="72"/>
      <c r="D868" s="54">
        <v>859</v>
      </c>
      <c r="E868" s="70">
        <v>44493.59</v>
      </c>
      <c r="F868" s="75">
        <v>5589</v>
      </c>
      <c r="G868" s="75">
        <v>88427</v>
      </c>
      <c r="H868" s="194">
        <v>329056</v>
      </c>
      <c r="I868" s="194">
        <v>12341.76</v>
      </c>
      <c r="J868" s="75">
        <v>81753.173721494197</v>
      </c>
      <c r="K868" s="73"/>
      <c r="M868" s="72"/>
      <c r="N868" s="54">
        <v>859</v>
      </c>
      <c r="O868" s="70">
        <v>63172.472499999996</v>
      </c>
      <c r="P868" s="75">
        <v>14699</v>
      </c>
      <c r="Q868" s="75">
        <v>83405</v>
      </c>
      <c r="R868" s="194">
        <v>341563.3725</v>
      </c>
      <c r="S868" s="194">
        <v>6170.25</v>
      </c>
      <c r="T868" s="70">
        <v>1800.6275000000007</v>
      </c>
      <c r="U868" s="80">
        <v>81753.173721494197</v>
      </c>
      <c r="V868" s="73"/>
      <c r="X868" s="30"/>
      <c r="Y868" s="54">
        <v>859</v>
      </c>
      <c r="Z868" s="70">
        <v>45455.349999999977</v>
      </c>
      <c r="AA868" s="75">
        <v>12264</v>
      </c>
      <c r="AB868" s="75">
        <v>7357.6799999999994</v>
      </c>
      <c r="AC868" s="75">
        <v>74394.320000000007</v>
      </c>
      <c r="AD868" s="194">
        <v>324763.59999999998</v>
      </c>
      <c r="AE868" s="194">
        <v>7087.6</v>
      </c>
      <c r="AF868" s="76">
        <v>0.09</v>
      </c>
      <c r="AG868" s="70">
        <v>4292.4000000000015</v>
      </c>
      <c r="AH868" s="31"/>
    </row>
    <row r="869" spans="3:34" x14ac:dyDescent="0.25">
      <c r="C869" s="72"/>
      <c r="D869" s="54">
        <v>860</v>
      </c>
      <c r="E869" s="70">
        <v>30635.27</v>
      </c>
      <c r="F869" s="75">
        <v>7164</v>
      </c>
      <c r="G869" s="75">
        <v>82764</v>
      </c>
      <c r="H869" s="194">
        <v>314748</v>
      </c>
      <c r="I869" s="194">
        <v>11892.08</v>
      </c>
      <c r="J869" s="75">
        <v>81753.173721494197</v>
      </c>
      <c r="K869" s="73"/>
      <c r="M869" s="72"/>
      <c r="N869" s="54">
        <v>860</v>
      </c>
      <c r="O869" s="70">
        <v>49308.339999999989</v>
      </c>
      <c r="P869" s="75">
        <v>11396</v>
      </c>
      <c r="Q869" s="75">
        <v>82620</v>
      </c>
      <c r="R869" s="194">
        <v>327659.99</v>
      </c>
      <c r="S869" s="194">
        <v>6131</v>
      </c>
      <c r="T869" s="70">
        <v>1396.0100000000007</v>
      </c>
      <c r="U869" s="80">
        <v>81753.173721494197</v>
      </c>
      <c r="V869" s="73"/>
      <c r="X869" s="30"/>
      <c r="Y869" s="54">
        <v>860</v>
      </c>
      <c r="Z869" s="70">
        <v>32090.95</v>
      </c>
      <c r="AA869" s="75">
        <v>9800</v>
      </c>
      <c r="AB869" s="75">
        <v>4807.6799999999994</v>
      </c>
      <c r="AC869" s="75">
        <v>75320.320000000007</v>
      </c>
      <c r="AD869" s="194">
        <v>311318</v>
      </c>
      <c r="AE869" s="194">
        <v>7006.4</v>
      </c>
      <c r="AF869" s="76">
        <v>0.06</v>
      </c>
      <c r="AG869" s="70">
        <v>3430.0000000000009</v>
      </c>
      <c r="AH869" s="31"/>
    </row>
    <row r="870" spans="3:34" x14ac:dyDescent="0.25">
      <c r="C870" s="72"/>
      <c r="D870" s="54">
        <v>861</v>
      </c>
      <c r="E870" s="70">
        <v>44493.59</v>
      </c>
      <c r="F870" s="75">
        <v>9538</v>
      </c>
      <c r="G870" s="75">
        <v>84478</v>
      </c>
      <c r="H870" s="194">
        <v>329056</v>
      </c>
      <c r="I870" s="194">
        <v>12341.76</v>
      </c>
      <c r="J870" s="75">
        <v>81753.173721494197</v>
      </c>
      <c r="K870" s="73"/>
      <c r="M870" s="72"/>
      <c r="N870" s="54">
        <v>861</v>
      </c>
      <c r="O870" s="70">
        <v>35321.102499999979</v>
      </c>
      <c r="P870" s="75">
        <v>9791</v>
      </c>
      <c r="Q870" s="75">
        <v>80137</v>
      </c>
      <c r="R870" s="194">
        <v>313548.60249999998</v>
      </c>
      <c r="S870" s="194">
        <v>6006.85</v>
      </c>
      <c r="T870" s="70">
        <v>1199.3975000000005</v>
      </c>
      <c r="U870" s="80">
        <v>81753.173721494197</v>
      </c>
      <c r="V870" s="73"/>
      <c r="X870" s="30"/>
      <c r="Y870" s="54">
        <v>861</v>
      </c>
      <c r="Z870" s="70">
        <v>46086.55</v>
      </c>
      <c r="AA870" s="75">
        <v>10160</v>
      </c>
      <c r="AB870" s="75">
        <v>5031.3599999999997</v>
      </c>
      <c r="AC870" s="75">
        <v>78824.639999999999</v>
      </c>
      <c r="AD870" s="194">
        <v>325500</v>
      </c>
      <c r="AE870" s="194">
        <v>7192.8</v>
      </c>
      <c r="AF870" s="76">
        <v>0.06</v>
      </c>
      <c r="AG870" s="70">
        <v>3556.0000000000009</v>
      </c>
      <c r="AH870" s="31"/>
    </row>
    <row r="871" spans="3:34" x14ac:dyDescent="0.25">
      <c r="C871" s="72"/>
      <c r="D871" s="54">
        <v>862</v>
      </c>
      <c r="E871" s="70">
        <v>58351.91</v>
      </c>
      <c r="F871" s="75">
        <v>6860</v>
      </c>
      <c r="G871" s="75">
        <v>91244</v>
      </c>
      <c r="H871" s="194">
        <v>343364</v>
      </c>
      <c r="I871" s="194">
        <v>12791.44</v>
      </c>
      <c r="J871" s="75">
        <v>81753.173721494197</v>
      </c>
      <c r="K871" s="73"/>
      <c r="M871" s="72"/>
      <c r="N871" s="54">
        <v>862</v>
      </c>
      <c r="O871" s="70">
        <v>49443.480000000018</v>
      </c>
      <c r="P871" s="75">
        <v>9532</v>
      </c>
      <c r="Q871" s="75">
        <v>84484</v>
      </c>
      <c r="R871" s="194">
        <v>327888.33</v>
      </c>
      <c r="S871" s="194">
        <v>6224.2</v>
      </c>
      <c r="T871" s="70">
        <v>1167.6700000000005</v>
      </c>
      <c r="U871" s="80">
        <v>81753.173721494197</v>
      </c>
      <c r="V871" s="73"/>
      <c r="X871" s="30"/>
      <c r="Y871" s="54">
        <v>862</v>
      </c>
      <c r="Z871" s="70">
        <v>87596.500000000015</v>
      </c>
      <c r="AA871" s="75">
        <v>12818</v>
      </c>
      <c r="AB871" s="75">
        <v>8411.49</v>
      </c>
      <c r="AC871" s="75">
        <v>85049.51</v>
      </c>
      <c r="AD871" s="194">
        <v>367490.2</v>
      </c>
      <c r="AE871" s="194">
        <v>7673.05</v>
      </c>
      <c r="AF871" s="76">
        <v>0.09</v>
      </c>
      <c r="AG871" s="70">
        <v>4486.3000000000011</v>
      </c>
      <c r="AH871" s="31"/>
    </row>
    <row r="872" spans="3:34" x14ac:dyDescent="0.25">
      <c r="C872" s="72"/>
      <c r="D872" s="54">
        <v>863</v>
      </c>
      <c r="E872" s="70">
        <v>58351.91</v>
      </c>
      <c r="F872" s="75">
        <v>8796</v>
      </c>
      <c r="G872" s="75">
        <v>89308</v>
      </c>
      <c r="H872" s="194">
        <v>343364</v>
      </c>
      <c r="I872" s="194">
        <v>12791.44</v>
      </c>
      <c r="J872" s="75">
        <v>81753.173721494197</v>
      </c>
      <c r="K872" s="73"/>
      <c r="M872" s="72"/>
      <c r="N872" s="54">
        <v>863</v>
      </c>
      <c r="O872" s="70">
        <v>49451.96249999998</v>
      </c>
      <c r="P872" s="75">
        <v>9415</v>
      </c>
      <c r="Q872" s="75">
        <v>84601</v>
      </c>
      <c r="R872" s="194">
        <v>327902.66249999998</v>
      </c>
      <c r="S872" s="194">
        <v>6230.05</v>
      </c>
      <c r="T872" s="70">
        <v>1153.3375000000005</v>
      </c>
      <c r="U872" s="80">
        <v>81753.173721494197</v>
      </c>
      <c r="V872" s="73"/>
      <c r="X872" s="30"/>
      <c r="Y872" s="54">
        <v>863</v>
      </c>
      <c r="Z872" s="70">
        <v>31235.05000000001</v>
      </c>
      <c r="AA872" s="75">
        <v>12653</v>
      </c>
      <c r="AB872" s="75">
        <v>3863.75</v>
      </c>
      <c r="AC872" s="75">
        <v>73411.25</v>
      </c>
      <c r="AD872" s="194">
        <v>310319.45</v>
      </c>
      <c r="AE872" s="194">
        <v>6863.75</v>
      </c>
      <c r="AF872" s="76">
        <v>0.05</v>
      </c>
      <c r="AG872" s="70">
        <v>4428.5500000000011</v>
      </c>
      <c r="AH872" s="31"/>
    </row>
    <row r="873" spans="3:34" x14ac:dyDescent="0.25">
      <c r="C873" s="72"/>
      <c r="D873" s="54">
        <v>864</v>
      </c>
      <c r="E873" s="70">
        <v>44493.59</v>
      </c>
      <c r="F873" s="75">
        <v>7484</v>
      </c>
      <c r="G873" s="75">
        <v>86532</v>
      </c>
      <c r="H873" s="194">
        <v>329056</v>
      </c>
      <c r="I873" s="194">
        <v>12341.76</v>
      </c>
      <c r="J873" s="75">
        <v>81753.173721494197</v>
      </c>
      <c r="K873" s="73"/>
      <c r="M873" s="72"/>
      <c r="N873" s="54">
        <v>864</v>
      </c>
      <c r="O873" s="70">
        <v>49450.004999999983</v>
      </c>
      <c r="P873" s="75">
        <v>9442</v>
      </c>
      <c r="Q873" s="75">
        <v>84574</v>
      </c>
      <c r="R873" s="194">
        <v>327899.35499999998</v>
      </c>
      <c r="S873" s="194">
        <v>6228.7</v>
      </c>
      <c r="T873" s="70">
        <v>1156.6450000000004</v>
      </c>
      <c r="U873" s="80">
        <v>81753.173721494197</v>
      </c>
      <c r="V873" s="73"/>
      <c r="X873" s="30"/>
      <c r="Y873" s="54">
        <v>864</v>
      </c>
      <c r="Z873" s="70">
        <v>31290.55000000001</v>
      </c>
      <c r="AA873" s="75">
        <v>12468</v>
      </c>
      <c r="AB873" s="75">
        <v>7746</v>
      </c>
      <c r="AC873" s="75">
        <v>69714</v>
      </c>
      <c r="AD873" s="194">
        <v>310384.2</v>
      </c>
      <c r="AE873" s="194">
        <v>6873</v>
      </c>
      <c r="AF873" s="76">
        <v>0.1</v>
      </c>
      <c r="AG873" s="70">
        <v>4363.8000000000011</v>
      </c>
      <c r="AH873" s="31"/>
    </row>
    <row r="874" spans="3:34" x14ac:dyDescent="0.25">
      <c r="C874" s="72"/>
      <c r="D874" s="54">
        <v>865</v>
      </c>
      <c r="E874" s="70">
        <v>30635.27</v>
      </c>
      <c r="F874" s="75">
        <v>6243</v>
      </c>
      <c r="G874" s="75">
        <v>83685</v>
      </c>
      <c r="H874" s="194">
        <v>314748</v>
      </c>
      <c r="I874" s="194">
        <v>11892.08</v>
      </c>
      <c r="J874" s="75">
        <v>81753.173721494197</v>
      </c>
      <c r="K874" s="73"/>
      <c r="M874" s="72"/>
      <c r="N874" s="54">
        <v>865</v>
      </c>
      <c r="O874" s="70">
        <v>63465.590000000011</v>
      </c>
      <c r="P874" s="75">
        <v>10656</v>
      </c>
      <c r="Q874" s="75">
        <v>87448</v>
      </c>
      <c r="R874" s="194">
        <v>342058.64</v>
      </c>
      <c r="S874" s="194">
        <v>6372.4000000000005</v>
      </c>
      <c r="T874" s="70">
        <v>1305.3600000000006</v>
      </c>
      <c r="U874" s="80">
        <v>81753.173721494197</v>
      </c>
      <c r="V874" s="73"/>
      <c r="X874" s="30"/>
      <c r="Y874" s="54">
        <v>865</v>
      </c>
      <c r="Z874" s="70">
        <v>59110.750000000015</v>
      </c>
      <c r="AA874" s="75">
        <v>13758</v>
      </c>
      <c r="AB874" s="75">
        <v>6747.68</v>
      </c>
      <c r="AC874" s="75">
        <v>77598.320000000007</v>
      </c>
      <c r="AD874" s="194">
        <v>338548.7</v>
      </c>
      <c r="AE874" s="194">
        <v>7217.3</v>
      </c>
      <c r="AF874" s="76">
        <v>0.08</v>
      </c>
      <c r="AG874" s="70">
        <v>4815.3000000000011</v>
      </c>
      <c r="AH874" s="31"/>
    </row>
    <row r="875" spans="3:34" x14ac:dyDescent="0.25">
      <c r="C875" s="72"/>
      <c r="D875" s="54">
        <v>866</v>
      </c>
      <c r="E875" s="70">
        <v>86065.16</v>
      </c>
      <c r="F875" s="75">
        <v>5278</v>
      </c>
      <c r="G875" s="75">
        <v>101001</v>
      </c>
      <c r="H875" s="194">
        <v>371976.5</v>
      </c>
      <c r="I875" s="194">
        <v>13690.69</v>
      </c>
      <c r="J875" s="75">
        <v>81753.173721494197</v>
      </c>
      <c r="K875" s="73"/>
      <c r="M875" s="72"/>
      <c r="N875" s="54">
        <v>866</v>
      </c>
      <c r="O875" s="70">
        <v>49240.842500000006</v>
      </c>
      <c r="P875" s="75">
        <v>12327</v>
      </c>
      <c r="Q875" s="75">
        <v>81689</v>
      </c>
      <c r="R875" s="194">
        <v>327545.9425</v>
      </c>
      <c r="S875" s="194">
        <v>6084.4500000000007</v>
      </c>
      <c r="T875" s="70">
        <v>1510.0575000000006</v>
      </c>
      <c r="U875" s="80">
        <v>81753.173721494197</v>
      </c>
      <c r="V875" s="73"/>
      <c r="X875" s="30"/>
      <c r="Y875" s="54">
        <v>866</v>
      </c>
      <c r="Z875" s="70">
        <v>46071.250000000022</v>
      </c>
      <c r="AA875" s="75">
        <v>10211</v>
      </c>
      <c r="AB875" s="75">
        <v>5866.35</v>
      </c>
      <c r="AC875" s="75">
        <v>77938.649999999994</v>
      </c>
      <c r="AD875" s="194">
        <v>325482.15000000002</v>
      </c>
      <c r="AE875" s="194">
        <v>7190.25</v>
      </c>
      <c r="AF875" s="76">
        <v>7.0000000000000007E-2</v>
      </c>
      <c r="AG875" s="70">
        <v>3573.8500000000008</v>
      </c>
      <c r="AH875" s="31"/>
    </row>
    <row r="876" spans="3:34" x14ac:dyDescent="0.25">
      <c r="C876" s="72"/>
      <c r="D876" s="54">
        <v>867</v>
      </c>
      <c r="E876" s="70">
        <v>86065.16</v>
      </c>
      <c r="F876" s="75">
        <v>10736</v>
      </c>
      <c r="G876" s="75">
        <v>95543</v>
      </c>
      <c r="H876" s="194">
        <v>371976.5</v>
      </c>
      <c r="I876" s="194">
        <v>13690.69</v>
      </c>
      <c r="J876" s="75">
        <v>81753.173721494197</v>
      </c>
      <c r="K876" s="73"/>
      <c r="M876" s="72"/>
      <c r="N876" s="54">
        <v>867</v>
      </c>
      <c r="O876" s="70">
        <v>91681.084999999992</v>
      </c>
      <c r="P876" s="75">
        <v>10494</v>
      </c>
      <c r="Q876" s="75">
        <v>95785</v>
      </c>
      <c r="R876" s="194">
        <v>370690.98499999999</v>
      </c>
      <c r="S876" s="194">
        <v>6789.25</v>
      </c>
      <c r="T876" s="70">
        <v>1285.5150000000006</v>
      </c>
      <c r="U876" s="80">
        <v>81753.173721494197</v>
      </c>
      <c r="V876" s="73"/>
      <c r="X876" s="30"/>
      <c r="Y876" s="54">
        <v>867</v>
      </c>
      <c r="Z876" s="70">
        <v>32327.650000000023</v>
      </c>
      <c r="AA876" s="75">
        <v>9011</v>
      </c>
      <c r="AB876" s="75">
        <v>7282.53</v>
      </c>
      <c r="AC876" s="75">
        <v>73634.47</v>
      </c>
      <c r="AD876" s="194">
        <v>311594.15000000002</v>
      </c>
      <c r="AE876" s="194">
        <v>7045.85</v>
      </c>
      <c r="AF876" s="76">
        <v>0.09</v>
      </c>
      <c r="AG876" s="70">
        <v>3153.8500000000008</v>
      </c>
      <c r="AH876" s="31"/>
    </row>
    <row r="877" spans="3:34" x14ac:dyDescent="0.25">
      <c r="C877" s="72"/>
      <c r="D877" s="54">
        <v>868</v>
      </c>
      <c r="E877" s="70">
        <v>86065.16</v>
      </c>
      <c r="F877" s="75">
        <v>5273</v>
      </c>
      <c r="G877" s="75">
        <v>101006</v>
      </c>
      <c r="H877" s="194">
        <v>371976.5</v>
      </c>
      <c r="I877" s="194">
        <v>13690.69</v>
      </c>
      <c r="J877" s="75">
        <v>81753.173721494197</v>
      </c>
      <c r="K877" s="73"/>
      <c r="M877" s="72"/>
      <c r="N877" s="54">
        <v>868</v>
      </c>
      <c r="O877" s="70">
        <v>35380.407499999994</v>
      </c>
      <c r="P877" s="75">
        <v>8973</v>
      </c>
      <c r="Q877" s="75">
        <v>80955</v>
      </c>
      <c r="R877" s="194">
        <v>313648.8075</v>
      </c>
      <c r="S877" s="194">
        <v>6047.75</v>
      </c>
      <c r="T877" s="70">
        <v>1099.1925000000006</v>
      </c>
      <c r="U877" s="80">
        <v>81753.173721494197</v>
      </c>
      <c r="V877" s="73"/>
      <c r="X877" s="30"/>
      <c r="Y877" s="54">
        <v>868</v>
      </c>
      <c r="Z877" s="70">
        <v>59140.750000000015</v>
      </c>
      <c r="AA877" s="75">
        <v>13658</v>
      </c>
      <c r="AB877" s="75">
        <v>5911.22</v>
      </c>
      <c r="AC877" s="75">
        <v>78534.78</v>
      </c>
      <c r="AD877" s="194">
        <v>338583.7</v>
      </c>
      <c r="AE877" s="194">
        <v>7222.3</v>
      </c>
      <c r="AF877" s="76">
        <v>7.0000000000000007E-2</v>
      </c>
      <c r="AG877" s="70">
        <v>4780.3000000000011</v>
      </c>
      <c r="AH877" s="31"/>
    </row>
    <row r="878" spans="3:34" x14ac:dyDescent="0.25">
      <c r="C878" s="72"/>
      <c r="D878" s="54">
        <v>869</v>
      </c>
      <c r="E878" s="70">
        <v>44493.59</v>
      </c>
      <c r="F878" s="75">
        <v>6438</v>
      </c>
      <c r="G878" s="75">
        <v>87578</v>
      </c>
      <c r="H878" s="194">
        <v>329056</v>
      </c>
      <c r="I878" s="194">
        <v>12341.76</v>
      </c>
      <c r="J878" s="75">
        <v>81753.173721494197</v>
      </c>
      <c r="K878" s="73"/>
      <c r="M878" s="72"/>
      <c r="N878" s="54">
        <v>869</v>
      </c>
      <c r="O878" s="70">
        <v>63524.894999999975</v>
      </c>
      <c r="P878" s="75">
        <v>9838</v>
      </c>
      <c r="Q878" s="75">
        <v>88266</v>
      </c>
      <c r="R878" s="194">
        <v>342158.84499999997</v>
      </c>
      <c r="S878" s="194">
        <v>6413.3</v>
      </c>
      <c r="T878" s="70">
        <v>1205.1550000000004</v>
      </c>
      <c r="U878" s="80">
        <v>81753.173721494197</v>
      </c>
      <c r="V878" s="73"/>
      <c r="X878" s="30"/>
      <c r="Y878" s="54">
        <v>869</v>
      </c>
      <c r="Z878" s="70">
        <v>87030.699999999983</v>
      </c>
      <c r="AA878" s="75">
        <v>14704</v>
      </c>
      <c r="AB878" s="75">
        <v>7326</v>
      </c>
      <c r="AC878" s="75">
        <v>84249</v>
      </c>
      <c r="AD878" s="194">
        <v>366830.1</v>
      </c>
      <c r="AE878" s="194">
        <v>7578.75</v>
      </c>
      <c r="AF878" s="76">
        <v>0.08</v>
      </c>
      <c r="AG878" s="70">
        <v>5146.4000000000015</v>
      </c>
      <c r="AH878" s="31"/>
    </row>
    <row r="879" spans="3:34" x14ac:dyDescent="0.25">
      <c r="C879" s="72"/>
      <c r="D879" s="54">
        <v>870</v>
      </c>
      <c r="E879" s="70">
        <v>86065.16</v>
      </c>
      <c r="F879" s="75">
        <v>9290</v>
      </c>
      <c r="G879" s="75">
        <v>96989</v>
      </c>
      <c r="H879" s="194">
        <v>371976.5</v>
      </c>
      <c r="I879" s="194">
        <v>13690.69</v>
      </c>
      <c r="J879" s="75">
        <v>81753.173721494197</v>
      </c>
      <c r="K879" s="73"/>
      <c r="M879" s="72"/>
      <c r="N879" s="54">
        <v>870</v>
      </c>
      <c r="O879" s="70">
        <v>49386.494999999981</v>
      </c>
      <c r="P879" s="75">
        <v>10318</v>
      </c>
      <c r="Q879" s="75">
        <v>83698</v>
      </c>
      <c r="R879" s="194">
        <v>327792.04499999998</v>
      </c>
      <c r="S879" s="194">
        <v>6184.9000000000005</v>
      </c>
      <c r="T879" s="70">
        <v>1263.9550000000006</v>
      </c>
      <c r="U879" s="80">
        <v>81753.173721494197</v>
      </c>
      <c r="V879" s="73"/>
      <c r="X879" s="30"/>
      <c r="Y879" s="54">
        <v>870</v>
      </c>
      <c r="Z879" s="70">
        <v>32382.849999999988</v>
      </c>
      <c r="AA879" s="75">
        <v>8827</v>
      </c>
      <c r="AB879" s="75">
        <v>4866.0599999999995</v>
      </c>
      <c r="AC879" s="75">
        <v>76234.94</v>
      </c>
      <c r="AD879" s="194">
        <v>311658.55</v>
      </c>
      <c r="AE879" s="194">
        <v>7055.05</v>
      </c>
      <c r="AF879" s="76">
        <v>0.06</v>
      </c>
      <c r="AG879" s="70">
        <v>3089.4500000000007</v>
      </c>
      <c r="AH879" s="31"/>
    </row>
    <row r="880" spans="3:34" x14ac:dyDescent="0.25">
      <c r="C880" s="72"/>
      <c r="D880" s="54">
        <v>871</v>
      </c>
      <c r="E880" s="70">
        <v>86065.16</v>
      </c>
      <c r="F880" s="75">
        <v>6248</v>
      </c>
      <c r="G880" s="75">
        <v>100031</v>
      </c>
      <c r="H880" s="194">
        <v>371976.5</v>
      </c>
      <c r="I880" s="194">
        <v>13690.69</v>
      </c>
      <c r="J880" s="75">
        <v>81753.173721494197</v>
      </c>
      <c r="K880" s="73"/>
      <c r="M880" s="72"/>
      <c r="N880" s="54">
        <v>871</v>
      </c>
      <c r="O880" s="70">
        <v>49390.047499999986</v>
      </c>
      <c r="P880" s="75">
        <v>10269</v>
      </c>
      <c r="Q880" s="75">
        <v>83747</v>
      </c>
      <c r="R880" s="194">
        <v>327798.04749999999</v>
      </c>
      <c r="S880" s="194">
        <v>6187.35</v>
      </c>
      <c r="T880" s="70">
        <v>1257.9525000000006</v>
      </c>
      <c r="U880" s="80">
        <v>81753.173721494197</v>
      </c>
      <c r="V880" s="73"/>
      <c r="X880" s="30"/>
      <c r="Y880" s="54">
        <v>871</v>
      </c>
      <c r="Z880" s="70">
        <v>31767.249999999978</v>
      </c>
      <c r="AA880" s="75">
        <v>10879</v>
      </c>
      <c r="AB880" s="75">
        <v>3952.4500000000003</v>
      </c>
      <c r="AC880" s="75">
        <v>75096.55</v>
      </c>
      <c r="AD880" s="194">
        <v>310940.34999999998</v>
      </c>
      <c r="AE880" s="194">
        <v>6952.4500000000007</v>
      </c>
      <c r="AF880" s="76">
        <v>0.05</v>
      </c>
      <c r="AG880" s="70">
        <v>3807.650000000001</v>
      </c>
      <c r="AH880" s="31"/>
    </row>
    <row r="881" spans="3:34" x14ac:dyDescent="0.25">
      <c r="C881" s="72"/>
      <c r="D881" s="54">
        <v>872</v>
      </c>
      <c r="E881" s="70">
        <v>58351.91</v>
      </c>
      <c r="F881" s="75">
        <v>9894</v>
      </c>
      <c r="G881" s="75">
        <v>88210</v>
      </c>
      <c r="H881" s="194">
        <v>343364</v>
      </c>
      <c r="I881" s="194">
        <v>12791.44</v>
      </c>
      <c r="J881" s="75">
        <v>81753.173721494197</v>
      </c>
      <c r="K881" s="73"/>
      <c r="M881" s="72"/>
      <c r="N881" s="54">
        <v>872</v>
      </c>
      <c r="O881" s="70">
        <v>49450.004999999983</v>
      </c>
      <c r="P881" s="75">
        <v>9442</v>
      </c>
      <c r="Q881" s="75">
        <v>84574</v>
      </c>
      <c r="R881" s="194">
        <v>327899.35499999998</v>
      </c>
      <c r="S881" s="194">
        <v>6228.7</v>
      </c>
      <c r="T881" s="70">
        <v>1156.6450000000004</v>
      </c>
      <c r="U881" s="80">
        <v>81753.173721494197</v>
      </c>
      <c r="V881" s="73"/>
      <c r="X881" s="30"/>
      <c r="Y881" s="54">
        <v>872</v>
      </c>
      <c r="Z881" s="70">
        <v>32047.45</v>
      </c>
      <c r="AA881" s="75">
        <v>9945</v>
      </c>
      <c r="AB881" s="75">
        <v>6398.64</v>
      </c>
      <c r="AC881" s="75">
        <v>73584.36</v>
      </c>
      <c r="AD881" s="194">
        <v>311267.25</v>
      </c>
      <c r="AE881" s="194">
        <v>6999.15</v>
      </c>
      <c r="AF881" s="76">
        <v>0.08</v>
      </c>
      <c r="AG881" s="70">
        <v>3480.7500000000009</v>
      </c>
      <c r="AH881" s="31"/>
    </row>
    <row r="882" spans="3:34" x14ac:dyDescent="0.25">
      <c r="C882" s="72"/>
      <c r="D882" s="54">
        <v>873</v>
      </c>
      <c r="E882" s="70">
        <v>44493.59</v>
      </c>
      <c r="F882" s="75">
        <v>9275</v>
      </c>
      <c r="G882" s="75">
        <v>84741</v>
      </c>
      <c r="H882" s="194">
        <v>329056</v>
      </c>
      <c r="I882" s="194">
        <v>12341.76</v>
      </c>
      <c r="J882" s="75">
        <v>81753.173721494197</v>
      </c>
      <c r="K882" s="73"/>
      <c r="M882" s="72"/>
      <c r="N882" s="54">
        <v>873</v>
      </c>
      <c r="O882" s="70">
        <v>35248.312499999985</v>
      </c>
      <c r="P882" s="75">
        <v>10795</v>
      </c>
      <c r="Q882" s="75">
        <v>79133</v>
      </c>
      <c r="R882" s="194">
        <v>313425.61249999999</v>
      </c>
      <c r="S882" s="194">
        <v>5956.65</v>
      </c>
      <c r="T882" s="70">
        <v>1322.3875000000005</v>
      </c>
      <c r="U882" s="80">
        <v>81753.173721494197</v>
      </c>
      <c r="V882" s="73"/>
      <c r="X882" s="30"/>
      <c r="Y882" s="54">
        <v>873</v>
      </c>
      <c r="Z882" s="70">
        <v>45194.05</v>
      </c>
      <c r="AA882" s="75">
        <v>13135</v>
      </c>
      <c r="AB882" s="75">
        <v>4852.8599999999997</v>
      </c>
      <c r="AC882" s="75">
        <v>76028.14</v>
      </c>
      <c r="AD882" s="194">
        <v>324458.75</v>
      </c>
      <c r="AE882" s="194">
        <v>7044.05</v>
      </c>
      <c r="AF882" s="76">
        <v>0.06</v>
      </c>
      <c r="AG882" s="70">
        <v>4597.2500000000009</v>
      </c>
      <c r="AH882" s="31"/>
    </row>
    <row r="883" spans="3:34" x14ac:dyDescent="0.25">
      <c r="C883" s="72"/>
      <c r="D883" s="54">
        <v>874</v>
      </c>
      <c r="E883" s="70">
        <v>58351.91</v>
      </c>
      <c r="F883" s="75">
        <v>9781</v>
      </c>
      <c r="G883" s="75">
        <v>88323</v>
      </c>
      <c r="H883" s="194">
        <v>343364</v>
      </c>
      <c r="I883" s="194">
        <v>12791.44</v>
      </c>
      <c r="J883" s="75">
        <v>81753.173721494197</v>
      </c>
      <c r="K883" s="73"/>
      <c r="M883" s="72"/>
      <c r="N883" s="54">
        <v>874</v>
      </c>
      <c r="O883" s="70">
        <v>35044.732500000006</v>
      </c>
      <c r="P883" s="75">
        <v>13603</v>
      </c>
      <c r="Q883" s="75">
        <v>76325</v>
      </c>
      <c r="R883" s="194">
        <v>313081.63250000001</v>
      </c>
      <c r="S883" s="194">
        <v>5816.25</v>
      </c>
      <c r="T883" s="70">
        <v>1666.3675000000007</v>
      </c>
      <c r="U883" s="80">
        <v>81753.173721494197</v>
      </c>
      <c r="V883" s="73"/>
      <c r="X883" s="30"/>
      <c r="Y883" s="54">
        <v>874</v>
      </c>
      <c r="Z883" s="70">
        <v>59672.35000000002</v>
      </c>
      <c r="AA883" s="75">
        <v>11886</v>
      </c>
      <c r="AB883" s="75">
        <v>6035.26</v>
      </c>
      <c r="AC883" s="75">
        <v>80182.740000000005</v>
      </c>
      <c r="AD883" s="194">
        <v>339203.9</v>
      </c>
      <c r="AE883" s="194">
        <v>7310.9000000000005</v>
      </c>
      <c r="AF883" s="76">
        <v>7.0000000000000007E-2</v>
      </c>
      <c r="AG883" s="70">
        <v>4160.1000000000013</v>
      </c>
      <c r="AH883" s="31"/>
    </row>
    <row r="884" spans="3:34" x14ac:dyDescent="0.25">
      <c r="C884" s="72"/>
      <c r="D884" s="54">
        <v>875</v>
      </c>
      <c r="E884" s="70">
        <v>58351.91</v>
      </c>
      <c r="F884" s="75">
        <v>5969</v>
      </c>
      <c r="G884" s="75">
        <v>92135</v>
      </c>
      <c r="H884" s="194">
        <v>343364</v>
      </c>
      <c r="I884" s="194">
        <v>12791.44</v>
      </c>
      <c r="J884" s="75">
        <v>81753.173721494197</v>
      </c>
      <c r="K884" s="73"/>
      <c r="M884" s="72"/>
      <c r="N884" s="54">
        <v>875</v>
      </c>
      <c r="O884" s="70">
        <v>49318.997499999998</v>
      </c>
      <c r="P884" s="75">
        <v>11249</v>
      </c>
      <c r="Q884" s="75">
        <v>82767</v>
      </c>
      <c r="R884" s="194">
        <v>327677.9975</v>
      </c>
      <c r="S884" s="194">
        <v>6138.35</v>
      </c>
      <c r="T884" s="70">
        <v>1378.0025000000005</v>
      </c>
      <c r="U884" s="80">
        <v>81753.173721494197</v>
      </c>
      <c r="V884" s="73"/>
      <c r="X884" s="30"/>
      <c r="Y884" s="54">
        <v>875</v>
      </c>
      <c r="Z884" s="70">
        <v>45740.349999999977</v>
      </c>
      <c r="AA884" s="75">
        <v>11314</v>
      </c>
      <c r="AB884" s="75">
        <v>8270.2000000000007</v>
      </c>
      <c r="AC884" s="75">
        <v>74431.8</v>
      </c>
      <c r="AD884" s="194">
        <v>325096.09999999998</v>
      </c>
      <c r="AE884" s="194">
        <v>7135.1</v>
      </c>
      <c r="AF884" s="76">
        <v>0.1</v>
      </c>
      <c r="AG884" s="70">
        <v>3959.900000000001</v>
      </c>
      <c r="AH884" s="31"/>
    </row>
    <row r="885" spans="3:34" x14ac:dyDescent="0.25">
      <c r="C885" s="72"/>
      <c r="D885" s="54">
        <v>876</v>
      </c>
      <c r="E885" s="70">
        <v>44493.59</v>
      </c>
      <c r="F885" s="75">
        <v>4600</v>
      </c>
      <c r="G885" s="75">
        <v>89416</v>
      </c>
      <c r="H885" s="194">
        <v>329056</v>
      </c>
      <c r="I885" s="194">
        <v>12341.76</v>
      </c>
      <c r="J885" s="75">
        <v>81753.173721494197</v>
      </c>
      <c r="K885" s="73"/>
      <c r="M885" s="72"/>
      <c r="N885" s="54">
        <v>876</v>
      </c>
      <c r="O885" s="70">
        <v>63234.822499999973</v>
      </c>
      <c r="P885" s="75">
        <v>13839</v>
      </c>
      <c r="Q885" s="75">
        <v>84265</v>
      </c>
      <c r="R885" s="194">
        <v>341668.72249999997</v>
      </c>
      <c r="S885" s="194">
        <v>6213.25</v>
      </c>
      <c r="T885" s="70">
        <v>1695.2775000000008</v>
      </c>
      <c r="U885" s="80">
        <v>81753.173721494197</v>
      </c>
      <c r="V885" s="73"/>
      <c r="X885" s="30"/>
      <c r="Y885" s="54">
        <v>876</v>
      </c>
      <c r="Z885" s="70">
        <v>44911.44999999999</v>
      </c>
      <c r="AA885" s="75">
        <v>14077</v>
      </c>
      <c r="AB885" s="75">
        <v>5595.7300000000005</v>
      </c>
      <c r="AC885" s="75">
        <v>74343.27</v>
      </c>
      <c r="AD885" s="194">
        <v>324129.05</v>
      </c>
      <c r="AE885" s="194">
        <v>6996.9500000000007</v>
      </c>
      <c r="AF885" s="76">
        <v>7.0000000000000007E-2</v>
      </c>
      <c r="AG885" s="70">
        <v>4926.9500000000016</v>
      </c>
      <c r="AH885" s="31"/>
    </row>
    <row r="886" spans="3:34" x14ac:dyDescent="0.25">
      <c r="C886" s="72"/>
      <c r="D886" s="54">
        <v>877</v>
      </c>
      <c r="E886" s="70">
        <v>58351.91</v>
      </c>
      <c r="F886" s="75">
        <v>7769</v>
      </c>
      <c r="G886" s="75">
        <v>90335</v>
      </c>
      <c r="H886" s="194">
        <v>343364</v>
      </c>
      <c r="I886" s="194">
        <v>12791.44</v>
      </c>
      <c r="J886" s="75">
        <v>81753.173721494197</v>
      </c>
      <c r="K886" s="73"/>
      <c r="M886" s="72"/>
      <c r="N886" s="54">
        <v>877</v>
      </c>
      <c r="O886" s="70">
        <v>49388.379999999983</v>
      </c>
      <c r="P886" s="75">
        <v>10292</v>
      </c>
      <c r="Q886" s="75">
        <v>83724</v>
      </c>
      <c r="R886" s="194">
        <v>327795.23</v>
      </c>
      <c r="S886" s="194">
        <v>6186.2</v>
      </c>
      <c r="T886" s="70">
        <v>1260.7700000000004</v>
      </c>
      <c r="U886" s="80">
        <v>81753.173721494197</v>
      </c>
      <c r="V886" s="73"/>
      <c r="X886" s="30"/>
      <c r="Y886" s="54">
        <v>877</v>
      </c>
      <c r="Z886" s="70">
        <v>58857.549999999988</v>
      </c>
      <c r="AA886" s="75">
        <v>14602</v>
      </c>
      <c r="AB886" s="75">
        <v>5845.14</v>
      </c>
      <c r="AC886" s="75">
        <v>77656.86</v>
      </c>
      <c r="AD886" s="194">
        <v>338253.3</v>
      </c>
      <c r="AE886" s="194">
        <v>7175.1</v>
      </c>
      <c r="AF886" s="76">
        <v>7.0000000000000007E-2</v>
      </c>
      <c r="AG886" s="70">
        <v>5110.7000000000016</v>
      </c>
      <c r="AH886" s="31"/>
    </row>
    <row r="887" spans="3:34" x14ac:dyDescent="0.25">
      <c r="C887" s="72"/>
      <c r="D887" s="54">
        <v>878</v>
      </c>
      <c r="E887" s="70">
        <v>30635.27</v>
      </c>
      <c r="F887" s="75">
        <v>8195</v>
      </c>
      <c r="G887" s="75">
        <v>81733</v>
      </c>
      <c r="H887" s="194">
        <v>314748</v>
      </c>
      <c r="I887" s="194">
        <v>11892.08</v>
      </c>
      <c r="J887" s="75">
        <v>81753.173721494197</v>
      </c>
      <c r="K887" s="73"/>
      <c r="M887" s="72"/>
      <c r="N887" s="54">
        <v>878</v>
      </c>
      <c r="O887" s="70">
        <v>63244.610000000008</v>
      </c>
      <c r="P887" s="75">
        <v>13704</v>
      </c>
      <c r="Q887" s="75">
        <v>84400</v>
      </c>
      <c r="R887" s="194">
        <v>341685.26</v>
      </c>
      <c r="S887" s="194">
        <v>6220</v>
      </c>
      <c r="T887" s="70">
        <v>1678.7400000000007</v>
      </c>
      <c r="U887" s="80">
        <v>81753.173721494197</v>
      </c>
      <c r="V887" s="73"/>
      <c r="X887" s="30"/>
      <c r="Y887" s="54">
        <v>878</v>
      </c>
      <c r="Z887" s="70">
        <v>44970.250000000022</v>
      </c>
      <c r="AA887" s="75">
        <v>13881</v>
      </c>
      <c r="AB887" s="75">
        <v>8013.5</v>
      </c>
      <c r="AC887" s="75">
        <v>72121.5</v>
      </c>
      <c r="AD887" s="194">
        <v>324197.65000000002</v>
      </c>
      <c r="AE887" s="194">
        <v>7006.75</v>
      </c>
      <c r="AF887" s="76">
        <v>0.1</v>
      </c>
      <c r="AG887" s="70">
        <v>4858.3500000000013</v>
      </c>
      <c r="AH887" s="31"/>
    </row>
    <row r="888" spans="3:34" x14ac:dyDescent="0.25">
      <c r="C888" s="72"/>
      <c r="D888" s="54">
        <v>879</v>
      </c>
      <c r="E888" s="70">
        <v>44493.59</v>
      </c>
      <c r="F888" s="75">
        <v>8621</v>
      </c>
      <c r="G888" s="75">
        <v>85395</v>
      </c>
      <c r="H888" s="194">
        <v>329056</v>
      </c>
      <c r="I888" s="194">
        <v>12341.76</v>
      </c>
      <c r="J888" s="75">
        <v>81753.173721494197</v>
      </c>
      <c r="K888" s="73"/>
      <c r="M888" s="72"/>
      <c r="N888" s="54">
        <v>879</v>
      </c>
      <c r="O888" s="70">
        <v>35060.972500000011</v>
      </c>
      <c r="P888" s="75">
        <v>13379</v>
      </c>
      <c r="Q888" s="75">
        <v>76549</v>
      </c>
      <c r="R888" s="194">
        <v>313109.07250000001</v>
      </c>
      <c r="S888" s="194">
        <v>5827.4500000000007</v>
      </c>
      <c r="T888" s="70">
        <v>1638.9275000000007</v>
      </c>
      <c r="U888" s="80">
        <v>81753.173721494197</v>
      </c>
      <c r="V888" s="73"/>
      <c r="X888" s="30"/>
      <c r="Y888" s="54">
        <v>879</v>
      </c>
      <c r="Z888" s="70">
        <v>31515.55000000001</v>
      </c>
      <c r="AA888" s="75">
        <v>11718</v>
      </c>
      <c r="AB888" s="75">
        <v>3910.5</v>
      </c>
      <c r="AC888" s="75">
        <v>74299.5</v>
      </c>
      <c r="AD888" s="194">
        <v>310646.7</v>
      </c>
      <c r="AE888" s="194">
        <v>6910.5</v>
      </c>
      <c r="AF888" s="76">
        <v>0.05</v>
      </c>
      <c r="AG888" s="70">
        <v>4101.3000000000011</v>
      </c>
      <c r="AH888" s="31"/>
    </row>
    <row r="889" spans="3:34" x14ac:dyDescent="0.25">
      <c r="C889" s="72"/>
      <c r="D889" s="54">
        <v>880</v>
      </c>
      <c r="E889" s="70">
        <v>30635.27</v>
      </c>
      <c r="F889" s="75">
        <v>5291</v>
      </c>
      <c r="G889" s="75">
        <v>84637</v>
      </c>
      <c r="H889" s="194">
        <v>314748</v>
      </c>
      <c r="I889" s="194">
        <v>11892.08</v>
      </c>
      <c r="J889" s="75">
        <v>81753.173721494197</v>
      </c>
      <c r="K889" s="73"/>
      <c r="M889" s="72"/>
      <c r="N889" s="54">
        <v>880</v>
      </c>
      <c r="O889" s="70">
        <v>49183.567499999983</v>
      </c>
      <c r="P889" s="75">
        <v>13117</v>
      </c>
      <c r="Q889" s="75">
        <v>80899</v>
      </c>
      <c r="R889" s="194">
        <v>327449.16749999998</v>
      </c>
      <c r="S889" s="194">
        <v>6044.9500000000007</v>
      </c>
      <c r="T889" s="70">
        <v>1606.8325000000007</v>
      </c>
      <c r="U889" s="80">
        <v>81753.173721494197</v>
      </c>
      <c r="V889" s="73"/>
      <c r="X889" s="30"/>
      <c r="Y889" s="54">
        <v>880</v>
      </c>
      <c r="Z889" s="70">
        <v>45546.849999999977</v>
      </c>
      <c r="AA889" s="75">
        <v>11959</v>
      </c>
      <c r="AB889" s="75">
        <v>5743.9900000000007</v>
      </c>
      <c r="AC889" s="75">
        <v>76313.009999999995</v>
      </c>
      <c r="AD889" s="194">
        <v>324870.34999999998</v>
      </c>
      <c r="AE889" s="194">
        <v>7102.85</v>
      </c>
      <c r="AF889" s="76">
        <v>7.0000000000000007E-2</v>
      </c>
      <c r="AG889" s="70">
        <v>4185.6500000000015</v>
      </c>
      <c r="AH889" s="31"/>
    </row>
    <row r="890" spans="3:34" x14ac:dyDescent="0.25">
      <c r="C890" s="72"/>
      <c r="D890" s="54">
        <v>881</v>
      </c>
      <c r="E890" s="70">
        <v>58351.91</v>
      </c>
      <c r="F890" s="75">
        <v>5734</v>
      </c>
      <c r="G890" s="75">
        <v>92370</v>
      </c>
      <c r="H890" s="194">
        <v>343364</v>
      </c>
      <c r="I890" s="194">
        <v>12791.44</v>
      </c>
      <c r="J890" s="75">
        <v>81753.173721494197</v>
      </c>
      <c r="K890" s="73"/>
      <c r="M890" s="72"/>
      <c r="N890" s="54">
        <v>881</v>
      </c>
      <c r="O890" s="70">
        <v>49381.057499999981</v>
      </c>
      <c r="P890" s="75">
        <v>10393</v>
      </c>
      <c r="Q890" s="75">
        <v>83623</v>
      </c>
      <c r="R890" s="194">
        <v>327782.85749999998</v>
      </c>
      <c r="S890" s="194">
        <v>6181.1500000000005</v>
      </c>
      <c r="T890" s="70">
        <v>1273.1425000000006</v>
      </c>
      <c r="U890" s="80">
        <v>81753.173721494197</v>
      </c>
      <c r="V890" s="73"/>
      <c r="X890" s="30"/>
      <c r="Y890" s="54">
        <v>881</v>
      </c>
      <c r="Z890" s="70">
        <v>46303.44999999999</v>
      </c>
      <c r="AA890" s="75">
        <v>9437</v>
      </c>
      <c r="AB890" s="75">
        <v>4228.95</v>
      </c>
      <c r="AC890" s="75">
        <v>80350.05</v>
      </c>
      <c r="AD890" s="194">
        <v>325753.05</v>
      </c>
      <c r="AE890" s="194">
        <v>7228.95</v>
      </c>
      <c r="AF890" s="76">
        <v>0.05</v>
      </c>
      <c r="AG890" s="70">
        <v>3302.9500000000007</v>
      </c>
      <c r="AH890" s="31"/>
    </row>
    <row r="891" spans="3:34" x14ac:dyDescent="0.25">
      <c r="C891" s="72"/>
      <c r="D891" s="54">
        <v>882</v>
      </c>
      <c r="E891" s="70">
        <v>30635.27</v>
      </c>
      <c r="F891" s="75">
        <v>5369</v>
      </c>
      <c r="G891" s="75">
        <v>84559</v>
      </c>
      <c r="H891" s="194">
        <v>314748</v>
      </c>
      <c r="I891" s="194">
        <v>11892.08</v>
      </c>
      <c r="J891" s="75">
        <v>81753.173721494197</v>
      </c>
      <c r="K891" s="73"/>
      <c r="M891" s="72"/>
      <c r="N891" s="54">
        <v>882</v>
      </c>
      <c r="O891" s="70">
        <v>49240.625000000015</v>
      </c>
      <c r="P891" s="75">
        <v>12330</v>
      </c>
      <c r="Q891" s="75">
        <v>81686</v>
      </c>
      <c r="R891" s="194">
        <v>327545.57500000001</v>
      </c>
      <c r="S891" s="194">
        <v>6084.3</v>
      </c>
      <c r="T891" s="70">
        <v>1510.4250000000006</v>
      </c>
      <c r="U891" s="80">
        <v>81753.173721494197</v>
      </c>
      <c r="V891" s="73"/>
      <c r="X891" s="30"/>
      <c r="Y891" s="54">
        <v>882</v>
      </c>
      <c r="Z891" s="70">
        <v>86658.699999999983</v>
      </c>
      <c r="AA891" s="75">
        <v>15944</v>
      </c>
      <c r="AB891" s="75">
        <v>8130.15</v>
      </c>
      <c r="AC891" s="75">
        <v>82204.850000000006</v>
      </c>
      <c r="AD891" s="194">
        <v>366396.1</v>
      </c>
      <c r="AE891" s="194">
        <v>7516.75</v>
      </c>
      <c r="AF891" s="76">
        <v>0.09</v>
      </c>
      <c r="AG891" s="70">
        <v>5580.4000000000015</v>
      </c>
      <c r="AH891" s="31"/>
    </row>
    <row r="892" spans="3:34" x14ac:dyDescent="0.25">
      <c r="C892" s="72"/>
      <c r="D892" s="54">
        <v>883</v>
      </c>
      <c r="E892" s="70">
        <v>44493.59</v>
      </c>
      <c r="F892" s="75">
        <v>9416</v>
      </c>
      <c r="G892" s="75">
        <v>84600</v>
      </c>
      <c r="H892" s="194">
        <v>329056</v>
      </c>
      <c r="I892" s="194">
        <v>12341.76</v>
      </c>
      <c r="J892" s="75">
        <v>81753.173721494197</v>
      </c>
      <c r="K892" s="73"/>
      <c r="M892" s="72"/>
      <c r="N892" s="54">
        <v>883</v>
      </c>
      <c r="O892" s="70">
        <v>63376.269999999975</v>
      </c>
      <c r="P892" s="75">
        <v>11888</v>
      </c>
      <c r="Q892" s="75">
        <v>86216</v>
      </c>
      <c r="R892" s="194">
        <v>341907.72</v>
      </c>
      <c r="S892" s="194">
        <v>6310.8</v>
      </c>
      <c r="T892" s="70">
        <v>1456.2800000000007</v>
      </c>
      <c r="U892" s="80">
        <v>81753.173721494197</v>
      </c>
      <c r="V892" s="73"/>
      <c r="X892" s="30"/>
      <c r="Y892" s="54">
        <v>883</v>
      </c>
      <c r="Z892" s="70">
        <v>45691.750000000022</v>
      </c>
      <c r="AA892" s="75">
        <v>11476</v>
      </c>
      <c r="AB892" s="75">
        <v>5777.8</v>
      </c>
      <c r="AC892" s="75">
        <v>76762.2</v>
      </c>
      <c r="AD892" s="194">
        <v>325039.40000000002</v>
      </c>
      <c r="AE892" s="194">
        <v>7127</v>
      </c>
      <c r="AF892" s="76">
        <v>7.0000000000000007E-2</v>
      </c>
      <c r="AG892" s="70">
        <v>4016.6000000000008</v>
      </c>
      <c r="AH892" s="31"/>
    </row>
    <row r="893" spans="3:34" x14ac:dyDescent="0.25">
      <c r="C893" s="72"/>
      <c r="D893" s="54">
        <v>884</v>
      </c>
      <c r="E893" s="70">
        <v>44493.59</v>
      </c>
      <c r="F893" s="75">
        <v>4665</v>
      </c>
      <c r="G893" s="75">
        <v>89351</v>
      </c>
      <c r="H893" s="194">
        <v>329056</v>
      </c>
      <c r="I893" s="194">
        <v>12341.76</v>
      </c>
      <c r="J893" s="75">
        <v>81753.173721494197</v>
      </c>
      <c r="K893" s="73"/>
      <c r="M893" s="72"/>
      <c r="N893" s="54">
        <v>884</v>
      </c>
      <c r="O893" s="70">
        <v>63445.217500000028</v>
      </c>
      <c r="P893" s="75">
        <v>10937</v>
      </c>
      <c r="Q893" s="75">
        <v>87167</v>
      </c>
      <c r="R893" s="194">
        <v>342024.21750000003</v>
      </c>
      <c r="S893" s="194">
        <v>6358.35</v>
      </c>
      <c r="T893" s="70">
        <v>1339.7825000000005</v>
      </c>
      <c r="U893" s="80">
        <v>81753.173721494197</v>
      </c>
      <c r="V893" s="73"/>
      <c r="X893" s="30"/>
      <c r="Y893" s="54">
        <v>884</v>
      </c>
      <c r="Z893" s="70">
        <v>31302.249999999978</v>
      </c>
      <c r="AA893" s="75">
        <v>12429</v>
      </c>
      <c r="AB893" s="75">
        <v>4649.9399999999996</v>
      </c>
      <c r="AC893" s="75">
        <v>72849.06</v>
      </c>
      <c r="AD893" s="194">
        <v>310397.84999999998</v>
      </c>
      <c r="AE893" s="194">
        <v>6874.9500000000007</v>
      </c>
      <c r="AF893" s="76">
        <v>0.06</v>
      </c>
      <c r="AG893" s="70">
        <v>4350.1500000000015</v>
      </c>
      <c r="AH893" s="31"/>
    </row>
    <row r="894" spans="3:34" x14ac:dyDescent="0.25">
      <c r="C894" s="72"/>
      <c r="D894" s="54">
        <v>885</v>
      </c>
      <c r="E894" s="70">
        <v>44493.59</v>
      </c>
      <c r="F894" s="75">
        <v>9483</v>
      </c>
      <c r="G894" s="75">
        <v>84533</v>
      </c>
      <c r="H894" s="194">
        <v>329056</v>
      </c>
      <c r="I894" s="194">
        <v>12341.76</v>
      </c>
      <c r="J894" s="75">
        <v>81753.173721494197</v>
      </c>
      <c r="K894" s="73"/>
      <c r="M894" s="72"/>
      <c r="N894" s="54">
        <v>885</v>
      </c>
      <c r="O894" s="70">
        <v>49176.244999999981</v>
      </c>
      <c r="P894" s="75">
        <v>13218</v>
      </c>
      <c r="Q894" s="75">
        <v>80798</v>
      </c>
      <c r="R894" s="194">
        <v>327436.79499999998</v>
      </c>
      <c r="S894" s="194">
        <v>6039.9</v>
      </c>
      <c r="T894" s="70">
        <v>1619.2050000000006</v>
      </c>
      <c r="U894" s="80">
        <v>81753.173721494197</v>
      </c>
      <c r="V894" s="73"/>
      <c r="X894" s="30"/>
      <c r="Y894" s="54">
        <v>885</v>
      </c>
      <c r="Z894" s="70">
        <v>30989.650000000023</v>
      </c>
      <c r="AA894" s="75">
        <v>13471</v>
      </c>
      <c r="AB894" s="75">
        <v>3822.8500000000004</v>
      </c>
      <c r="AC894" s="75">
        <v>72634.149999999994</v>
      </c>
      <c r="AD894" s="194">
        <v>310033.15000000002</v>
      </c>
      <c r="AE894" s="194">
        <v>6822.85</v>
      </c>
      <c r="AF894" s="76">
        <v>0.05</v>
      </c>
      <c r="AG894" s="70">
        <v>4714.8500000000013</v>
      </c>
      <c r="AH894" s="31"/>
    </row>
    <row r="895" spans="3:34" x14ac:dyDescent="0.25">
      <c r="C895" s="72"/>
      <c r="D895" s="54">
        <v>886</v>
      </c>
      <c r="E895" s="70">
        <v>44493.59</v>
      </c>
      <c r="F895" s="75">
        <v>9475</v>
      </c>
      <c r="G895" s="75">
        <v>84541</v>
      </c>
      <c r="H895" s="194">
        <v>329056</v>
      </c>
      <c r="I895" s="194">
        <v>12341.76</v>
      </c>
      <c r="J895" s="75">
        <v>81753.173721494197</v>
      </c>
      <c r="K895" s="73"/>
      <c r="M895" s="72"/>
      <c r="N895" s="54">
        <v>886</v>
      </c>
      <c r="O895" s="70">
        <v>63172.834999999985</v>
      </c>
      <c r="P895" s="75">
        <v>14694</v>
      </c>
      <c r="Q895" s="75">
        <v>83410</v>
      </c>
      <c r="R895" s="194">
        <v>341563.98499999999</v>
      </c>
      <c r="S895" s="194">
        <v>6170.5</v>
      </c>
      <c r="T895" s="70">
        <v>1800.0150000000008</v>
      </c>
      <c r="U895" s="80">
        <v>81753.173721494197</v>
      </c>
      <c r="V895" s="73"/>
      <c r="X895" s="30"/>
      <c r="Y895" s="54">
        <v>886</v>
      </c>
      <c r="Z895" s="70">
        <v>59455.750000000015</v>
      </c>
      <c r="AA895" s="75">
        <v>12608</v>
      </c>
      <c r="AB895" s="75">
        <v>4274.8</v>
      </c>
      <c r="AC895" s="75">
        <v>81221.2</v>
      </c>
      <c r="AD895" s="194">
        <v>338951.2</v>
      </c>
      <c r="AE895" s="194">
        <v>7274.8</v>
      </c>
      <c r="AF895" s="76">
        <v>0.05</v>
      </c>
      <c r="AG895" s="70">
        <v>4412.8000000000011</v>
      </c>
      <c r="AH895" s="31"/>
    </row>
    <row r="896" spans="3:34" x14ac:dyDescent="0.25">
      <c r="C896" s="72"/>
      <c r="D896" s="54">
        <v>887</v>
      </c>
      <c r="E896" s="70">
        <v>86065.16</v>
      </c>
      <c r="F896" s="75">
        <v>9585</v>
      </c>
      <c r="G896" s="75">
        <v>96694</v>
      </c>
      <c r="H896" s="194">
        <v>371976.5</v>
      </c>
      <c r="I896" s="194">
        <v>13690.69</v>
      </c>
      <c r="J896" s="75">
        <v>81753.173721494197</v>
      </c>
      <c r="K896" s="73"/>
      <c r="M896" s="72"/>
      <c r="N896" s="54">
        <v>887</v>
      </c>
      <c r="O896" s="70">
        <v>63304.857499999998</v>
      </c>
      <c r="P896" s="75">
        <v>12873</v>
      </c>
      <c r="Q896" s="75">
        <v>85231</v>
      </c>
      <c r="R896" s="194">
        <v>341787.0575</v>
      </c>
      <c r="S896" s="194">
        <v>6261.55</v>
      </c>
      <c r="T896" s="70">
        <v>1576.9425000000008</v>
      </c>
      <c r="U896" s="80">
        <v>81753.173721494197</v>
      </c>
      <c r="V896" s="73"/>
      <c r="X896" s="30"/>
      <c r="Y896" s="54">
        <v>887</v>
      </c>
      <c r="Z896" s="70">
        <v>44904.849999999977</v>
      </c>
      <c r="AA896" s="75">
        <v>14099</v>
      </c>
      <c r="AB896" s="75">
        <v>7192.53</v>
      </c>
      <c r="AC896" s="75">
        <v>72724.47</v>
      </c>
      <c r="AD896" s="194">
        <v>324121.34999999998</v>
      </c>
      <c r="AE896" s="194">
        <v>6995.85</v>
      </c>
      <c r="AF896" s="76">
        <v>0.09</v>
      </c>
      <c r="AG896" s="70">
        <v>4934.6500000000015</v>
      </c>
      <c r="AH896" s="31"/>
    </row>
    <row r="897" spans="3:34" x14ac:dyDescent="0.25">
      <c r="C897" s="72"/>
      <c r="D897" s="54">
        <v>888</v>
      </c>
      <c r="E897" s="70">
        <v>44493.59</v>
      </c>
      <c r="F897" s="75">
        <v>8500</v>
      </c>
      <c r="G897" s="75">
        <v>85516</v>
      </c>
      <c r="H897" s="194">
        <v>329056</v>
      </c>
      <c r="I897" s="194">
        <v>12341.76</v>
      </c>
      <c r="J897" s="75">
        <v>81753.173721494197</v>
      </c>
      <c r="K897" s="73"/>
      <c r="M897" s="72"/>
      <c r="N897" s="54">
        <v>888</v>
      </c>
      <c r="O897" s="70">
        <v>63314.789999999964</v>
      </c>
      <c r="P897" s="75">
        <v>12736</v>
      </c>
      <c r="Q897" s="75">
        <v>85368</v>
      </c>
      <c r="R897" s="194">
        <v>341803.83999999997</v>
      </c>
      <c r="S897" s="194">
        <v>6268.4000000000005</v>
      </c>
      <c r="T897" s="70">
        <v>1560.1600000000008</v>
      </c>
      <c r="U897" s="80">
        <v>81753.173721494197</v>
      </c>
      <c r="V897" s="73"/>
      <c r="X897" s="30"/>
      <c r="Y897" s="54">
        <v>888</v>
      </c>
      <c r="Z897" s="70">
        <v>59374.750000000015</v>
      </c>
      <c r="AA897" s="75">
        <v>12878</v>
      </c>
      <c r="AB897" s="75">
        <v>6818.08</v>
      </c>
      <c r="AC897" s="75">
        <v>78407.92</v>
      </c>
      <c r="AD897" s="194">
        <v>338856.7</v>
      </c>
      <c r="AE897" s="194">
        <v>7261.3</v>
      </c>
      <c r="AF897" s="76">
        <v>0.08</v>
      </c>
      <c r="AG897" s="70">
        <v>4507.3000000000011</v>
      </c>
      <c r="AH897" s="31"/>
    </row>
    <row r="898" spans="3:34" x14ac:dyDescent="0.25">
      <c r="C898" s="72"/>
      <c r="D898" s="54">
        <v>889</v>
      </c>
      <c r="E898" s="70">
        <v>30635.27</v>
      </c>
      <c r="F898" s="75">
        <v>4484</v>
      </c>
      <c r="G898" s="75">
        <v>85444</v>
      </c>
      <c r="H898" s="194">
        <v>314748</v>
      </c>
      <c r="I898" s="194">
        <v>11892.08</v>
      </c>
      <c r="J898" s="75">
        <v>81753.173721494197</v>
      </c>
      <c r="K898" s="73"/>
      <c r="M898" s="72"/>
      <c r="N898" s="54">
        <v>889</v>
      </c>
      <c r="O898" s="70">
        <v>63366.337500000001</v>
      </c>
      <c r="P898" s="75">
        <v>12025</v>
      </c>
      <c r="Q898" s="75">
        <v>86079</v>
      </c>
      <c r="R898" s="194">
        <v>341890.9375</v>
      </c>
      <c r="S898" s="194">
        <v>6303.95</v>
      </c>
      <c r="T898" s="70">
        <v>1473.0625000000007</v>
      </c>
      <c r="U898" s="80">
        <v>81753.173721494197</v>
      </c>
      <c r="V898" s="73"/>
      <c r="X898" s="30"/>
      <c r="Y898" s="54">
        <v>889</v>
      </c>
      <c r="Z898" s="70">
        <v>46052.349999999977</v>
      </c>
      <c r="AA898" s="75">
        <v>10274</v>
      </c>
      <c r="AB898" s="75">
        <v>8374.2000000000007</v>
      </c>
      <c r="AC898" s="75">
        <v>75367.8</v>
      </c>
      <c r="AD898" s="194">
        <v>325460.09999999998</v>
      </c>
      <c r="AE898" s="194">
        <v>7187.1</v>
      </c>
      <c r="AF898" s="76">
        <v>0.1</v>
      </c>
      <c r="AG898" s="70">
        <v>3595.900000000001</v>
      </c>
      <c r="AH898" s="31"/>
    </row>
    <row r="899" spans="3:34" x14ac:dyDescent="0.25">
      <c r="C899" s="72"/>
      <c r="D899" s="54">
        <v>890</v>
      </c>
      <c r="E899" s="70">
        <v>58351.91</v>
      </c>
      <c r="F899" s="75">
        <v>7872</v>
      </c>
      <c r="G899" s="75">
        <v>90232</v>
      </c>
      <c r="H899" s="194">
        <v>343364</v>
      </c>
      <c r="I899" s="194">
        <v>12791.44</v>
      </c>
      <c r="J899" s="75">
        <v>81753.173721494197</v>
      </c>
      <c r="K899" s="73"/>
      <c r="M899" s="72"/>
      <c r="N899" s="54">
        <v>890</v>
      </c>
      <c r="O899" s="70">
        <v>63464.212500000001</v>
      </c>
      <c r="P899" s="75">
        <v>10675</v>
      </c>
      <c r="Q899" s="75">
        <v>87429</v>
      </c>
      <c r="R899" s="194">
        <v>342056.3125</v>
      </c>
      <c r="S899" s="194">
        <v>6371.45</v>
      </c>
      <c r="T899" s="70">
        <v>1307.6875000000007</v>
      </c>
      <c r="U899" s="80">
        <v>81753.173721494197</v>
      </c>
      <c r="V899" s="73"/>
      <c r="X899" s="30"/>
      <c r="Y899" s="54">
        <v>890</v>
      </c>
      <c r="Z899" s="70">
        <v>59077.449999999975</v>
      </c>
      <c r="AA899" s="75">
        <v>13869</v>
      </c>
      <c r="AB899" s="75">
        <v>4211.75</v>
      </c>
      <c r="AC899" s="75">
        <v>80023.25</v>
      </c>
      <c r="AD899" s="194">
        <v>338509.85</v>
      </c>
      <c r="AE899" s="194">
        <v>7211.75</v>
      </c>
      <c r="AF899" s="76">
        <v>0.05</v>
      </c>
      <c r="AG899" s="70">
        <v>4854.1500000000015</v>
      </c>
      <c r="AH899" s="31"/>
    </row>
    <row r="900" spans="3:34" x14ac:dyDescent="0.25">
      <c r="C900" s="72"/>
      <c r="D900" s="54">
        <v>891</v>
      </c>
      <c r="E900" s="70">
        <v>44493.59</v>
      </c>
      <c r="F900" s="75">
        <v>9412</v>
      </c>
      <c r="G900" s="75">
        <v>84604</v>
      </c>
      <c r="H900" s="194">
        <v>329056</v>
      </c>
      <c r="I900" s="194">
        <v>12341.76</v>
      </c>
      <c r="J900" s="75">
        <v>81753.173721494197</v>
      </c>
      <c r="K900" s="73"/>
      <c r="M900" s="72"/>
      <c r="N900" s="54">
        <v>891</v>
      </c>
      <c r="O900" s="70">
        <v>49175.012500000026</v>
      </c>
      <c r="P900" s="75">
        <v>13235</v>
      </c>
      <c r="Q900" s="75">
        <v>80781</v>
      </c>
      <c r="R900" s="194">
        <v>327434.71250000002</v>
      </c>
      <c r="S900" s="194">
        <v>6039.05</v>
      </c>
      <c r="T900" s="70">
        <v>1621.2875000000008</v>
      </c>
      <c r="U900" s="80">
        <v>81753.173721494197</v>
      </c>
      <c r="V900" s="73"/>
      <c r="X900" s="30"/>
      <c r="Y900" s="54">
        <v>891</v>
      </c>
      <c r="Z900" s="70">
        <v>88278.10000000002</v>
      </c>
      <c r="AA900" s="75">
        <v>10546</v>
      </c>
      <c r="AB900" s="75">
        <v>4786.6500000000005</v>
      </c>
      <c r="AC900" s="75">
        <v>90946.35</v>
      </c>
      <c r="AD900" s="194">
        <v>368285.4</v>
      </c>
      <c r="AE900" s="194">
        <v>7786.6500000000005</v>
      </c>
      <c r="AF900" s="76">
        <v>0.05</v>
      </c>
      <c r="AG900" s="70">
        <v>3691.1000000000008</v>
      </c>
      <c r="AH900" s="31"/>
    </row>
    <row r="901" spans="3:34" x14ac:dyDescent="0.25">
      <c r="C901" s="72"/>
      <c r="D901" s="54">
        <v>892</v>
      </c>
      <c r="E901" s="70">
        <v>44493.59</v>
      </c>
      <c r="F901" s="75">
        <v>7526</v>
      </c>
      <c r="G901" s="75">
        <v>86490</v>
      </c>
      <c r="H901" s="194">
        <v>329056</v>
      </c>
      <c r="I901" s="194">
        <v>12341.76</v>
      </c>
      <c r="J901" s="75">
        <v>81753.173721494197</v>
      </c>
      <c r="K901" s="73"/>
      <c r="M901" s="72"/>
      <c r="N901" s="54">
        <v>892</v>
      </c>
      <c r="O901" s="70">
        <v>91595.68</v>
      </c>
      <c r="P901" s="75">
        <v>11672</v>
      </c>
      <c r="Q901" s="75">
        <v>94607</v>
      </c>
      <c r="R901" s="194">
        <v>370546.68</v>
      </c>
      <c r="S901" s="194">
        <v>6730.35</v>
      </c>
      <c r="T901" s="70">
        <v>1429.8200000000006</v>
      </c>
      <c r="U901" s="80">
        <v>81753.173721494197</v>
      </c>
      <c r="V901" s="73"/>
      <c r="X901" s="30"/>
      <c r="Y901" s="54">
        <v>892</v>
      </c>
      <c r="Z901" s="70">
        <v>31827.849999999988</v>
      </c>
      <c r="AA901" s="75">
        <v>10677</v>
      </c>
      <c r="AB901" s="75">
        <v>7925.1</v>
      </c>
      <c r="AC901" s="75">
        <v>71325.899999999994</v>
      </c>
      <c r="AD901" s="194">
        <v>311011.05</v>
      </c>
      <c r="AE901" s="194">
        <v>6962.55</v>
      </c>
      <c r="AF901" s="76">
        <v>0.1</v>
      </c>
      <c r="AG901" s="70">
        <v>3736.9500000000007</v>
      </c>
      <c r="AH901" s="31"/>
    </row>
    <row r="902" spans="3:34" x14ac:dyDescent="0.25">
      <c r="C902" s="72"/>
      <c r="D902" s="54">
        <v>893</v>
      </c>
      <c r="E902" s="70">
        <v>44493.59</v>
      </c>
      <c r="F902" s="75">
        <v>6642</v>
      </c>
      <c r="G902" s="75">
        <v>87374</v>
      </c>
      <c r="H902" s="194">
        <v>329056</v>
      </c>
      <c r="I902" s="194">
        <v>12341.76</v>
      </c>
      <c r="J902" s="75">
        <v>81753.173721494197</v>
      </c>
      <c r="K902" s="73"/>
      <c r="M902" s="72"/>
      <c r="N902" s="54">
        <v>893</v>
      </c>
      <c r="O902" s="70">
        <v>49177.984999999986</v>
      </c>
      <c r="P902" s="75">
        <v>13194</v>
      </c>
      <c r="Q902" s="75">
        <v>80822</v>
      </c>
      <c r="R902" s="194">
        <v>327439.73499999999</v>
      </c>
      <c r="S902" s="194">
        <v>6041.1</v>
      </c>
      <c r="T902" s="70">
        <v>1616.2650000000008</v>
      </c>
      <c r="U902" s="80">
        <v>81753.173721494197</v>
      </c>
      <c r="V902" s="73"/>
      <c r="X902" s="30"/>
      <c r="Y902" s="54">
        <v>893</v>
      </c>
      <c r="Z902" s="70">
        <v>59405.35000000002</v>
      </c>
      <c r="AA902" s="75">
        <v>12776</v>
      </c>
      <c r="AB902" s="75">
        <v>7679.5199999999995</v>
      </c>
      <c r="AC902" s="75">
        <v>77648.479999999996</v>
      </c>
      <c r="AD902" s="194">
        <v>338892.4</v>
      </c>
      <c r="AE902" s="194">
        <v>7266.4000000000005</v>
      </c>
      <c r="AF902" s="76">
        <v>0.09</v>
      </c>
      <c r="AG902" s="70">
        <v>4471.6000000000013</v>
      </c>
      <c r="AH902" s="31"/>
    </row>
    <row r="903" spans="3:34" x14ac:dyDescent="0.25">
      <c r="C903" s="72"/>
      <c r="D903" s="54">
        <v>894</v>
      </c>
      <c r="E903" s="70">
        <v>58351.91</v>
      </c>
      <c r="F903" s="75">
        <v>8886</v>
      </c>
      <c r="G903" s="75">
        <v>89218</v>
      </c>
      <c r="H903" s="194">
        <v>343364</v>
      </c>
      <c r="I903" s="194">
        <v>12791.44</v>
      </c>
      <c r="J903" s="75">
        <v>81753.173721494197</v>
      </c>
      <c r="K903" s="73"/>
      <c r="M903" s="72"/>
      <c r="N903" s="54">
        <v>894</v>
      </c>
      <c r="O903" s="70">
        <v>49108.964999999989</v>
      </c>
      <c r="P903" s="75">
        <v>14146</v>
      </c>
      <c r="Q903" s="75">
        <v>79870</v>
      </c>
      <c r="R903" s="194">
        <v>327323.11499999999</v>
      </c>
      <c r="S903" s="194">
        <v>5993.5</v>
      </c>
      <c r="T903" s="70">
        <v>1732.8850000000007</v>
      </c>
      <c r="U903" s="80">
        <v>81753.173721494197</v>
      </c>
      <c r="V903" s="73"/>
      <c r="X903" s="30"/>
      <c r="Y903" s="54">
        <v>894</v>
      </c>
      <c r="Z903" s="70">
        <v>46315.750000000022</v>
      </c>
      <c r="AA903" s="75">
        <v>9396</v>
      </c>
      <c r="AB903" s="75">
        <v>6769.6</v>
      </c>
      <c r="AC903" s="75">
        <v>77850.399999999994</v>
      </c>
      <c r="AD903" s="194">
        <v>325767.40000000002</v>
      </c>
      <c r="AE903" s="194">
        <v>7231</v>
      </c>
      <c r="AF903" s="76">
        <v>0.08</v>
      </c>
      <c r="AG903" s="70">
        <v>3288.6000000000008</v>
      </c>
      <c r="AH903" s="31"/>
    </row>
    <row r="904" spans="3:34" x14ac:dyDescent="0.25">
      <c r="C904" s="72"/>
      <c r="D904" s="54">
        <v>895</v>
      </c>
      <c r="E904" s="70">
        <v>30635.27</v>
      </c>
      <c r="F904" s="75">
        <v>8211</v>
      </c>
      <c r="G904" s="75">
        <v>81717</v>
      </c>
      <c r="H904" s="194">
        <v>314748</v>
      </c>
      <c r="I904" s="194">
        <v>11892.08</v>
      </c>
      <c r="J904" s="75">
        <v>81753.173721494197</v>
      </c>
      <c r="K904" s="73"/>
      <c r="M904" s="72"/>
      <c r="N904" s="54">
        <v>895</v>
      </c>
      <c r="O904" s="70">
        <v>35249.110000000022</v>
      </c>
      <c r="P904" s="75">
        <v>10784</v>
      </c>
      <c r="Q904" s="75">
        <v>79144</v>
      </c>
      <c r="R904" s="194">
        <v>313426.96000000002</v>
      </c>
      <c r="S904" s="194">
        <v>5957.2000000000007</v>
      </c>
      <c r="T904" s="70">
        <v>1321.0400000000006</v>
      </c>
      <c r="U904" s="80">
        <v>81753.173721494197</v>
      </c>
      <c r="V904" s="73"/>
      <c r="X904" s="30"/>
      <c r="Y904" s="54">
        <v>895</v>
      </c>
      <c r="Z904" s="70">
        <v>31032.849999999988</v>
      </c>
      <c r="AA904" s="75">
        <v>13327</v>
      </c>
      <c r="AB904" s="75">
        <v>7660.1</v>
      </c>
      <c r="AC904" s="75">
        <v>68940.899999999994</v>
      </c>
      <c r="AD904" s="194">
        <v>310083.55</v>
      </c>
      <c r="AE904" s="194">
        <v>6830.05</v>
      </c>
      <c r="AF904" s="76">
        <v>0.1</v>
      </c>
      <c r="AG904" s="70">
        <v>4664.4500000000016</v>
      </c>
      <c r="AH904" s="31"/>
    </row>
    <row r="905" spans="3:34" x14ac:dyDescent="0.25">
      <c r="C905" s="72"/>
      <c r="D905" s="54">
        <v>896</v>
      </c>
      <c r="E905" s="70">
        <v>86065.16</v>
      </c>
      <c r="F905" s="75">
        <v>8607</v>
      </c>
      <c r="G905" s="75">
        <v>97672</v>
      </c>
      <c r="H905" s="194">
        <v>371976.5</v>
      </c>
      <c r="I905" s="194">
        <v>13690.69</v>
      </c>
      <c r="J905" s="75">
        <v>81753.173721494197</v>
      </c>
      <c r="K905" s="73"/>
      <c r="M905" s="72"/>
      <c r="N905" s="54">
        <v>896</v>
      </c>
      <c r="O905" s="70">
        <v>63461.094999999987</v>
      </c>
      <c r="P905" s="75">
        <v>10718</v>
      </c>
      <c r="Q905" s="75">
        <v>87386</v>
      </c>
      <c r="R905" s="194">
        <v>342051.04499999998</v>
      </c>
      <c r="S905" s="194">
        <v>6369.3</v>
      </c>
      <c r="T905" s="70">
        <v>1312.9550000000006</v>
      </c>
      <c r="U905" s="80">
        <v>81753.173721494197</v>
      </c>
      <c r="V905" s="73"/>
      <c r="X905" s="30"/>
      <c r="Y905" s="54">
        <v>896</v>
      </c>
      <c r="Z905" s="70">
        <v>45182.05</v>
      </c>
      <c r="AA905" s="75">
        <v>13175</v>
      </c>
      <c r="AB905" s="75">
        <v>7275.69</v>
      </c>
      <c r="AC905" s="75">
        <v>73565.31</v>
      </c>
      <c r="AD905" s="194">
        <v>324444.75</v>
      </c>
      <c r="AE905" s="194">
        <v>7042.05</v>
      </c>
      <c r="AF905" s="76">
        <v>0.09</v>
      </c>
      <c r="AG905" s="70">
        <v>4611.2500000000009</v>
      </c>
      <c r="AH905" s="31"/>
    </row>
    <row r="906" spans="3:34" x14ac:dyDescent="0.25">
      <c r="C906" s="72"/>
      <c r="D906" s="54">
        <v>897</v>
      </c>
      <c r="E906" s="70">
        <v>30635.27</v>
      </c>
      <c r="F906" s="75">
        <v>7090</v>
      </c>
      <c r="G906" s="75">
        <v>82838</v>
      </c>
      <c r="H906" s="194">
        <v>314748</v>
      </c>
      <c r="I906" s="194">
        <v>11892.08</v>
      </c>
      <c r="J906" s="75">
        <v>81753.173721494197</v>
      </c>
      <c r="K906" s="73"/>
      <c r="M906" s="72"/>
      <c r="N906" s="54">
        <v>897</v>
      </c>
      <c r="O906" s="70">
        <v>63540.192500000005</v>
      </c>
      <c r="P906" s="75">
        <v>9627</v>
      </c>
      <c r="Q906" s="75">
        <v>88477</v>
      </c>
      <c r="R906" s="194">
        <v>342184.6925</v>
      </c>
      <c r="S906" s="194">
        <v>6423.85</v>
      </c>
      <c r="T906" s="70">
        <v>1179.3075000000006</v>
      </c>
      <c r="U906" s="80">
        <v>81753.173721494197</v>
      </c>
      <c r="V906" s="73"/>
      <c r="X906" s="30"/>
      <c r="Y906" s="54">
        <v>897</v>
      </c>
      <c r="Z906" s="70">
        <v>31838.05000000001</v>
      </c>
      <c r="AA906" s="75">
        <v>10643</v>
      </c>
      <c r="AB906" s="75">
        <v>7135.65</v>
      </c>
      <c r="AC906" s="75">
        <v>72149.350000000006</v>
      </c>
      <c r="AD906" s="194">
        <v>311022.95</v>
      </c>
      <c r="AE906" s="194">
        <v>6964.25</v>
      </c>
      <c r="AF906" s="76">
        <v>0.09</v>
      </c>
      <c r="AG906" s="70">
        <v>3725.0500000000011</v>
      </c>
      <c r="AH906" s="31"/>
    </row>
    <row r="907" spans="3:34" x14ac:dyDescent="0.25">
      <c r="C907" s="72"/>
      <c r="D907" s="54">
        <v>898</v>
      </c>
      <c r="E907" s="70">
        <v>44493.59</v>
      </c>
      <c r="F907" s="75">
        <v>6432</v>
      </c>
      <c r="G907" s="75">
        <v>87584</v>
      </c>
      <c r="H907" s="194">
        <v>329056</v>
      </c>
      <c r="I907" s="194">
        <v>12341.76</v>
      </c>
      <c r="J907" s="75">
        <v>81753.173721494197</v>
      </c>
      <c r="K907" s="73"/>
      <c r="M907" s="72"/>
      <c r="N907" s="54">
        <v>898</v>
      </c>
      <c r="O907" s="70">
        <v>49110.922499999986</v>
      </c>
      <c r="P907" s="75">
        <v>14119</v>
      </c>
      <c r="Q907" s="75">
        <v>79897</v>
      </c>
      <c r="R907" s="194">
        <v>327326.42249999999</v>
      </c>
      <c r="S907" s="194">
        <v>5994.85</v>
      </c>
      <c r="T907" s="70">
        <v>1729.5775000000008</v>
      </c>
      <c r="U907" s="80">
        <v>81753.173721494197</v>
      </c>
      <c r="V907" s="73"/>
      <c r="X907" s="30"/>
      <c r="Y907" s="54">
        <v>898</v>
      </c>
      <c r="Z907" s="70">
        <v>32329.45</v>
      </c>
      <c r="AA907" s="75">
        <v>9005</v>
      </c>
      <c r="AB907" s="75">
        <v>5664.6100000000006</v>
      </c>
      <c r="AC907" s="75">
        <v>75258.39</v>
      </c>
      <c r="AD907" s="194">
        <v>311596.25</v>
      </c>
      <c r="AE907" s="194">
        <v>7046.15</v>
      </c>
      <c r="AF907" s="76">
        <v>7.0000000000000007E-2</v>
      </c>
      <c r="AG907" s="70">
        <v>3151.7500000000009</v>
      </c>
      <c r="AH907" s="31"/>
    </row>
    <row r="908" spans="3:34" x14ac:dyDescent="0.25">
      <c r="C908" s="72"/>
      <c r="D908" s="54">
        <v>899</v>
      </c>
      <c r="E908" s="70">
        <v>30635.27</v>
      </c>
      <c r="F908" s="75">
        <v>6207</v>
      </c>
      <c r="G908" s="75">
        <v>83721</v>
      </c>
      <c r="H908" s="194">
        <v>314748</v>
      </c>
      <c r="I908" s="194">
        <v>11892.08</v>
      </c>
      <c r="J908" s="75">
        <v>81753.173721494197</v>
      </c>
      <c r="K908" s="73"/>
      <c r="M908" s="72"/>
      <c r="N908" s="54">
        <v>899</v>
      </c>
      <c r="O908" s="70">
        <v>63526.852499999964</v>
      </c>
      <c r="P908" s="75">
        <v>9811</v>
      </c>
      <c r="Q908" s="75">
        <v>88293</v>
      </c>
      <c r="R908" s="194">
        <v>342162.15249999997</v>
      </c>
      <c r="S908" s="194">
        <v>6414.6500000000005</v>
      </c>
      <c r="T908" s="70">
        <v>1201.8475000000005</v>
      </c>
      <c r="U908" s="80">
        <v>81753.173721494197</v>
      </c>
      <c r="V908" s="73"/>
      <c r="X908" s="30"/>
      <c r="Y908" s="54">
        <v>899</v>
      </c>
      <c r="Z908" s="70">
        <v>60238.750000000015</v>
      </c>
      <c r="AA908" s="75">
        <v>9998</v>
      </c>
      <c r="AB908" s="75">
        <v>8810.6</v>
      </c>
      <c r="AC908" s="75">
        <v>79295.399999999994</v>
      </c>
      <c r="AD908" s="194">
        <v>339864.7</v>
      </c>
      <c r="AE908" s="194">
        <v>7405.3</v>
      </c>
      <c r="AF908" s="76">
        <v>0.1</v>
      </c>
      <c r="AG908" s="70">
        <v>3499.3000000000011</v>
      </c>
      <c r="AH908" s="31"/>
    </row>
    <row r="909" spans="3:34" x14ac:dyDescent="0.25">
      <c r="C909" s="72"/>
      <c r="D909" s="54">
        <v>900</v>
      </c>
      <c r="E909" s="70">
        <v>44493.59</v>
      </c>
      <c r="F909" s="75">
        <v>4719</v>
      </c>
      <c r="G909" s="75">
        <v>89297</v>
      </c>
      <c r="H909" s="194">
        <v>329056</v>
      </c>
      <c r="I909" s="194">
        <v>12341.76</v>
      </c>
      <c r="J909" s="75">
        <v>81753.173721494197</v>
      </c>
      <c r="K909" s="73"/>
      <c r="M909" s="72"/>
      <c r="N909" s="54">
        <v>900</v>
      </c>
      <c r="O909" s="70">
        <v>49108.819999999992</v>
      </c>
      <c r="P909" s="75">
        <v>14148</v>
      </c>
      <c r="Q909" s="75">
        <v>79868</v>
      </c>
      <c r="R909" s="194">
        <v>327322.87</v>
      </c>
      <c r="S909" s="194">
        <v>5993.4</v>
      </c>
      <c r="T909" s="70">
        <v>1733.1300000000008</v>
      </c>
      <c r="U909" s="80">
        <v>81753.173721494197</v>
      </c>
      <c r="V909" s="73"/>
      <c r="X909" s="30"/>
      <c r="Y909" s="54">
        <v>900</v>
      </c>
      <c r="Z909" s="70">
        <v>45461.94999999999</v>
      </c>
      <c r="AA909" s="75">
        <v>12242</v>
      </c>
      <c r="AB909" s="75">
        <v>5724.18</v>
      </c>
      <c r="AC909" s="75">
        <v>76049.820000000007</v>
      </c>
      <c r="AD909" s="194">
        <v>324771.3</v>
      </c>
      <c r="AE909" s="194">
        <v>7088.7000000000007</v>
      </c>
      <c r="AF909" s="76">
        <v>7.0000000000000007E-2</v>
      </c>
      <c r="AG909" s="70">
        <v>4284.7000000000007</v>
      </c>
      <c r="AH909" s="31"/>
    </row>
    <row r="910" spans="3:34" x14ac:dyDescent="0.25">
      <c r="C910" s="72"/>
      <c r="D910" s="54">
        <v>901</v>
      </c>
      <c r="E910" s="70">
        <v>44493.59</v>
      </c>
      <c r="F910" s="75">
        <v>6575</v>
      </c>
      <c r="G910" s="75">
        <v>87441</v>
      </c>
      <c r="H910" s="194">
        <v>329056</v>
      </c>
      <c r="I910" s="194">
        <v>12341.76</v>
      </c>
      <c r="J910" s="75">
        <v>81753.173721494197</v>
      </c>
      <c r="K910" s="73"/>
      <c r="M910" s="72"/>
      <c r="N910" s="54">
        <v>901</v>
      </c>
      <c r="O910" s="70">
        <v>63384.752499999988</v>
      </c>
      <c r="P910" s="75">
        <v>11771</v>
      </c>
      <c r="Q910" s="75">
        <v>86333</v>
      </c>
      <c r="R910" s="194">
        <v>341922.05249999999</v>
      </c>
      <c r="S910" s="194">
        <v>6316.6500000000005</v>
      </c>
      <c r="T910" s="70">
        <v>1441.9475000000007</v>
      </c>
      <c r="U910" s="80">
        <v>81753.173721494197</v>
      </c>
      <c r="V910" s="73"/>
      <c r="X910" s="30"/>
      <c r="Y910" s="54">
        <v>901</v>
      </c>
      <c r="Z910" s="70">
        <v>32051.349999999988</v>
      </c>
      <c r="AA910" s="75">
        <v>9932</v>
      </c>
      <c r="AB910" s="75">
        <v>4799.76</v>
      </c>
      <c r="AC910" s="75">
        <v>75196.240000000005</v>
      </c>
      <c r="AD910" s="194">
        <v>311271.8</v>
      </c>
      <c r="AE910" s="194">
        <v>6999.8</v>
      </c>
      <c r="AF910" s="76">
        <v>0.06</v>
      </c>
      <c r="AG910" s="70">
        <v>3476.2000000000007</v>
      </c>
      <c r="AH910" s="31"/>
    </row>
    <row r="911" spans="3:34" x14ac:dyDescent="0.25">
      <c r="C911" s="72"/>
      <c r="D911" s="54">
        <v>902</v>
      </c>
      <c r="E911" s="70">
        <v>58351.91</v>
      </c>
      <c r="F911" s="75">
        <v>8909</v>
      </c>
      <c r="G911" s="75">
        <v>89195</v>
      </c>
      <c r="H911" s="194">
        <v>343364</v>
      </c>
      <c r="I911" s="194">
        <v>12791.44</v>
      </c>
      <c r="J911" s="75">
        <v>81753.173721494197</v>
      </c>
      <c r="K911" s="73"/>
      <c r="M911" s="72"/>
      <c r="N911" s="54">
        <v>902</v>
      </c>
      <c r="O911" s="70">
        <v>49124.697500000009</v>
      </c>
      <c r="P911" s="75">
        <v>13929</v>
      </c>
      <c r="Q911" s="75">
        <v>80087</v>
      </c>
      <c r="R911" s="194">
        <v>327349.69750000001</v>
      </c>
      <c r="S911" s="194">
        <v>6004.35</v>
      </c>
      <c r="T911" s="70">
        <v>1706.3025000000007</v>
      </c>
      <c r="U911" s="80">
        <v>81753.173721494197</v>
      </c>
      <c r="V911" s="73"/>
      <c r="X911" s="30"/>
      <c r="Y911" s="54">
        <v>902</v>
      </c>
      <c r="Z911" s="70">
        <v>46343.650000000009</v>
      </c>
      <c r="AA911" s="75">
        <v>9303</v>
      </c>
      <c r="AB911" s="75">
        <v>4235.6500000000005</v>
      </c>
      <c r="AC911" s="75">
        <v>80477.350000000006</v>
      </c>
      <c r="AD911" s="194">
        <v>325799.95</v>
      </c>
      <c r="AE911" s="194">
        <v>7235.6500000000005</v>
      </c>
      <c r="AF911" s="76">
        <v>0.05</v>
      </c>
      <c r="AG911" s="70">
        <v>3256.0500000000006</v>
      </c>
      <c r="AH911" s="31"/>
    </row>
    <row r="912" spans="3:34" x14ac:dyDescent="0.25">
      <c r="C912" s="72"/>
      <c r="D912" s="54">
        <v>903</v>
      </c>
      <c r="E912" s="70">
        <v>44493.59</v>
      </c>
      <c r="F912" s="75">
        <v>9378</v>
      </c>
      <c r="G912" s="75">
        <v>84638</v>
      </c>
      <c r="H912" s="194">
        <v>329056</v>
      </c>
      <c r="I912" s="194">
        <v>12341.76</v>
      </c>
      <c r="J912" s="75">
        <v>81753.173721494197</v>
      </c>
      <c r="K912" s="73"/>
      <c r="M912" s="72"/>
      <c r="N912" s="54">
        <v>903</v>
      </c>
      <c r="O912" s="70">
        <v>49255.415000000001</v>
      </c>
      <c r="P912" s="75">
        <v>12126</v>
      </c>
      <c r="Q912" s="75">
        <v>81890</v>
      </c>
      <c r="R912" s="194">
        <v>327570.565</v>
      </c>
      <c r="S912" s="194">
        <v>6094.5</v>
      </c>
      <c r="T912" s="70">
        <v>1485.4350000000006</v>
      </c>
      <c r="U912" s="80">
        <v>81753.173721494197</v>
      </c>
      <c r="V912" s="73"/>
      <c r="X912" s="30"/>
      <c r="Y912" s="54">
        <v>903</v>
      </c>
      <c r="Z912" s="70">
        <v>87276.4</v>
      </c>
      <c r="AA912" s="75">
        <v>13885</v>
      </c>
      <c r="AB912" s="75">
        <v>6467.5800000000008</v>
      </c>
      <c r="AC912" s="75">
        <v>85926.42</v>
      </c>
      <c r="AD912" s="194">
        <v>367116.75</v>
      </c>
      <c r="AE912" s="194">
        <v>7619.7</v>
      </c>
      <c r="AF912" s="76">
        <v>7.0000000000000007E-2</v>
      </c>
      <c r="AG912" s="70">
        <v>4859.7500000000009</v>
      </c>
      <c r="AH912" s="31"/>
    </row>
    <row r="913" spans="3:34" x14ac:dyDescent="0.25">
      <c r="C913" s="72"/>
      <c r="D913" s="54">
        <v>904</v>
      </c>
      <c r="E913" s="70">
        <v>44493.59</v>
      </c>
      <c r="F913" s="75">
        <v>6528</v>
      </c>
      <c r="G913" s="75">
        <v>87488</v>
      </c>
      <c r="H913" s="194">
        <v>329056</v>
      </c>
      <c r="I913" s="194">
        <v>12341.76</v>
      </c>
      <c r="J913" s="75">
        <v>81753.173721494197</v>
      </c>
      <c r="K913" s="73"/>
      <c r="M913" s="72"/>
      <c r="N913" s="54">
        <v>904</v>
      </c>
      <c r="O913" s="70">
        <v>49452.325000000026</v>
      </c>
      <c r="P913" s="75">
        <v>9410</v>
      </c>
      <c r="Q913" s="75">
        <v>84606</v>
      </c>
      <c r="R913" s="194">
        <v>327903.27500000002</v>
      </c>
      <c r="S913" s="194">
        <v>6230.3</v>
      </c>
      <c r="T913" s="70">
        <v>1152.7250000000006</v>
      </c>
      <c r="U913" s="80">
        <v>81753.173721494197</v>
      </c>
      <c r="V913" s="73"/>
      <c r="X913" s="30"/>
      <c r="Y913" s="54">
        <v>904</v>
      </c>
      <c r="Z913" s="70">
        <v>31733.95</v>
      </c>
      <c r="AA913" s="75">
        <v>10990</v>
      </c>
      <c r="AB913" s="75">
        <v>7893.8</v>
      </c>
      <c r="AC913" s="75">
        <v>71044.2</v>
      </c>
      <c r="AD913" s="194">
        <v>310901.5</v>
      </c>
      <c r="AE913" s="194">
        <v>6946.9</v>
      </c>
      <c r="AF913" s="76">
        <v>0.1</v>
      </c>
      <c r="AG913" s="70">
        <v>3846.5000000000009</v>
      </c>
      <c r="AH913" s="31"/>
    </row>
    <row r="914" spans="3:34" x14ac:dyDescent="0.25">
      <c r="C914" s="72"/>
      <c r="D914" s="54">
        <v>905</v>
      </c>
      <c r="E914" s="70">
        <v>44493.59</v>
      </c>
      <c r="F914" s="75">
        <v>7574</v>
      </c>
      <c r="G914" s="75">
        <v>86442</v>
      </c>
      <c r="H914" s="194">
        <v>329056</v>
      </c>
      <c r="I914" s="194">
        <v>12341.76</v>
      </c>
      <c r="J914" s="75">
        <v>81753.173721494197</v>
      </c>
      <c r="K914" s="73"/>
      <c r="M914" s="72"/>
      <c r="N914" s="54">
        <v>905</v>
      </c>
      <c r="O914" s="70">
        <v>63528.229999999981</v>
      </c>
      <c r="P914" s="75">
        <v>9792</v>
      </c>
      <c r="Q914" s="75">
        <v>88312</v>
      </c>
      <c r="R914" s="194">
        <v>342164.47999999998</v>
      </c>
      <c r="S914" s="194">
        <v>6415.6</v>
      </c>
      <c r="T914" s="70">
        <v>1199.5200000000004</v>
      </c>
      <c r="U914" s="80">
        <v>81753.173721494197</v>
      </c>
      <c r="V914" s="73"/>
      <c r="X914" s="30"/>
      <c r="Y914" s="54">
        <v>905</v>
      </c>
      <c r="Z914" s="70">
        <v>60023.049999999988</v>
      </c>
      <c r="AA914" s="75">
        <v>10717</v>
      </c>
      <c r="AB914" s="75">
        <v>6990.96</v>
      </c>
      <c r="AC914" s="75">
        <v>80396.039999999994</v>
      </c>
      <c r="AD914" s="194">
        <v>339613.05</v>
      </c>
      <c r="AE914" s="194">
        <v>7369.35</v>
      </c>
      <c r="AF914" s="76">
        <v>0.08</v>
      </c>
      <c r="AG914" s="70">
        <v>3750.9500000000007</v>
      </c>
      <c r="AH914" s="31"/>
    </row>
    <row r="915" spans="3:34" x14ac:dyDescent="0.25">
      <c r="C915" s="72"/>
      <c r="D915" s="54">
        <v>906</v>
      </c>
      <c r="E915" s="70">
        <v>86065.16</v>
      </c>
      <c r="F915" s="75">
        <v>6318</v>
      </c>
      <c r="G915" s="75">
        <v>99961</v>
      </c>
      <c r="H915" s="194">
        <v>371976.5</v>
      </c>
      <c r="I915" s="194">
        <v>13690.69</v>
      </c>
      <c r="J915" s="75">
        <v>81753.173721494197</v>
      </c>
      <c r="K915" s="73"/>
      <c r="M915" s="72"/>
      <c r="N915" s="54">
        <v>906</v>
      </c>
      <c r="O915" s="70">
        <v>63537.219999999987</v>
      </c>
      <c r="P915" s="75">
        <v>9668</v>
      </c>
      <c r="Q915" s="75">
        <v>88436</v>
      </c>
      <c r="R915" s="194">
        <v>342179.67</v>
      </c>
      <c r="S915" s="194">
        <v>6421.8</v>
      </c>
      <c r="T915" s="70">
        <v>1184.3300000000006</v>
      </c>
      <c r="U915" s="80">
        <v>81753.173721494197</v>
      </c>
      <c r="V915" s="73"/>
      <c r="X915" s="30"/>
      <c r="Y915" s="54">
        <v>906</v>
      </c>
      <c r="Z915" s="70">
        <v>44951.05</v>
      </c>
      <c r="AA915" s="75">
        <v>13945</v>
      </c>
      <c r="AB915" s="75">
        <v>4804.26</v>
      </c>
      <c r="AC915" s="75">
        <v>75266.740000000005</v>
      </c>
      <c r="AD915" s="194">
        <v>324175.25</v>
      </c>
      <c r="AE915" s="194">
        <v>7003.55</v>
      </c>
      <c r="AF915" s="76">
        <v>0.06</v>
      </c>
      <c r="AG915" s="70">
        <v>4880.7500000000009</v>
      </c>
      <c r="AH915" s="31"/>
    </row>
    <row r="916" spans="3:34" x14ac:dyDescent="0.25">
      <c r="C916" s="72"/>
      <c r="D916" s="54">
        <v>907</v>
      </c>
      <c r="E916" s="70">
        <v>44493.59</v>
      </c>
      <c r="F916" s="75">
        <v>4767</v>
      </c>
      <c r="G916" s="75">
        <v>89249</v>
      </c>
      <c r="H916" s="194">
        <v>329056</v>
      </c>
      <c r="I916" s="194">
        <v>12341.76</v>
      </c>
      <c r="J916" s="75">
        <v>81753.173721494197</v>
      </c>
      <c r="K916" s="73"/>
      <c r="M916" s="72"/>
      <c r="N916" s="54">
        <v>907</v>
      </c>
      <c r="O916" s="70">
        <v>49304.859999999986</v>
      </c>
      <c r="P916" s="75">
        <v>11444</v>
      </c>
      <c r="Q916" s="75">
        <v>82572</v>
      </c>
      <c r="R916" s="194">
        <v>327654.11</v>
      </c>
      <c r="S916" s="194">
        <v>6128.6</v>
      </c>
      <c r="T916" s="70">
        <v>1401.8900000000006</v>
      </c>
      <c r="U916" s="80">
        <v>81753.173721494197</v>
      </c>
      <c r="V916" s="73"/>
      <c r="X916" s="30"/>
      <c r="Y916" s="54">
        <v>907</v>
      </c>
      <c r="Z916" s="70">
        <v>45451.750000000022</v>
      </c>
      <c r="AA916" s="75">
        <v>12276</v>
      </c>
      <c r="AB916" s="75">
        <v>5721.8</v>
      </c>
      <c r="AC916" s="75">
        <v>76018.2</v>
      </c>
      <c r="AD916" s="194">
        <v>324759.40000000002</v>
      </c>
      <c r="AE916" s="194">
        <v>7087</v>
      </c>
      <c r="AF916" s="76">
        <v>7.0000000000000007E-2</v>
      </c>
      <c r="AG916" s="70">
        <v>4296.6000000000013</v>
      </c>
      <c r="AH916" s="31"/>
    </row>
    <row r="917" spans="3:34" x14ac:dyDescent="0.25">
      <c r="C917" s="72"/>
      <c r="D917" s="54">
        <v>908</v>
      </c>
      <c r="E917" s="70">
        <v>86065.16</v>
      </c>
      <c r="F917" s="75">
        <v>6288</v>
      </c>
      <c r="G917" s="75">
        <v>99991</v>
      </c>
      <c r="H917" s="194">
        <v>371976.5</v>
      </c>
      <c r="I917" s="194">
        <v>13690.69</v>
      </c>
      <c r="J917" s="75">
        <v>81753.173721494197</v>
      </c>
      <c r="K917" s="73"/>
      <c r="M917" s="72"/>
      <c r="N917" s="54">
        <v>908</v>
      </c>
      <c r="O917" s="70">
        <v>49240.915000000001</v>
      </c>
      <c r="P917" s="75">
        <v>12326</v>
      </c>
      <c r="Q917" s="75">
        <v>81690</v>
      </c>
      <c r="R917" s="194">
        <v>327546.065</v>
      </c>
      <c r="S917" s="194">
        <v>6084.5</v>
      </c>
      <c r="T917" s="70">
        <v>1509.9350000000006</v>
      </c>
      <c r="U917" s="80">
        <v>81753.173721494197</v>
      </c>
      <c r="V917" s="73"/>
      <c r="X917" s="30"/>
      <c r="Y917" s="54">
        <v>908</v>
      </c>
      <c r="Z917" s="70">
        <v>44897.349999999977</v>
      </c>
      <c r="AA917" s="75">
        <v>14124</v>
      </c>
      <c r="AB917" s="75">
        <v>6391.3600000000006</v>
      </c>
      <c r="AC917" s="75">
        <v>73500.639999999999</v>
      </c>
      <c r="AD917" s="194">
        <v>324112.59999999998</v>
      </c>
      <c r="AE917" s="194">
        <v>6994.6</v>
      </c>
      <c r="AF917" s="76">
        <v>0.08</v>
      </c>
      <c r="AG917" s="70">
        <v>4943.4000000000015</v>
      </c>
      <c r="AH917" s="31"/>
    </row>
    <row r="918" spans="3:34" x14ac:dyDescent="0.25">
      <c r="C918" s="72"/>
      <c r="D918" s="54">
        <v>909</v>
      </c>
      <c r="E918" s="70">
        <v>44493.59</v>
      </c>
      <c r="F918" s="75">
        <v>6619</v>
      </c>
      <c r="G918" s="75">
        <v>87397</v>
      </c>
      <c r="H918" s="194">
        <v>329056</v>
      </c>
      <c r="I918" s="194">
        <v>12341.76</v>
      </c>
      <c r="J918" s="75">
        <v>81753.173721494197</v>
      </c>
      <c r="K918" s="73"/>
      <c r="M918" s="72"/>
      <c r="N918" s="54">
        <v>909</v>
      </c>
      <c r="O918" s="70">
        <v>49106.427500000013</v>
      </c>
      <c r="P918" s="75">
        <v>14181</v>
      </c>
      <c r="Q918" s="75">
        <v>79835</v>
      </c>
      <c r="R918" s="194">
        <v>327318.82750000001</v>
      </c>
      <c r="S918" s="194">
        <v>5991.75</v>
      </c>
      <c r="T918" s="70">
        <v>1737.1725000000008</v>
      </c>
      <c r="U918" s="80">
        <v>81753.173721494197</v>
      </c>
      <c r="V918" s="73"/>
      <c r="X918" s="30"/>
      <c r="Y918" s="54">
        <v>909</v>
      </c>
      <c r="Z918" s="70">
        <v>44864.94999999999</v>
      </c>
      <c r="AA918" s="75">
        <v>14232</v>
      </c>
      <c r="AB918" s="75">
        <v>7180.5599999999995</v>
      </c>
      <c r="AC918" s="75">
        <v>72603.44</v>
      </c>
      <c r="AD918" s="194">
        <v>324074.8</v>
      </c>
      <c r="AE918" s="194">
        <v>6989.2000000000007</v>
      </c>
      <c r="AF918" s="76">
        <v>0.09</v>
      </c>
      <c r="AG918" s="70">
        <v>4981.2000000000016</v>
      </c>
      <c r="AH918" s="31"/>
    </row>
    <row r="919" spans="3:34" x14ac:dyDescent="0.25">
      <c r="C919" s="72"/>
      <c r="D919" s="54">
        <v>910</v>
      </c>
      <c r="E919" s="70">
        <v>58351.91</v>
      </c>
      <c r="F919" s="75">
        <v>9863</v>
      </c>
      <c r="G919" s="75">
        <v>88241</v>
      </c>
      <c r="H919" s="194">
        <v>343364</v>
      </c>
      <c r="I919" s="194">
        <v>12791.44</v>
      </c>
      <c r="J919" s="75">
        <v>81753.173721494197</v>
      </c>
      <c r="K919" s="73"/>
      <c r="M919" s="72"/>
      <c r="N919" s="54">
        <v>910</v>
      </c>
      <c r="O919" s="70">
        <v>35056.114999999991</v>
      </c>
      <c r="P919" s="75">
        <v>13446</v>
      </c>
      <c r="Q919" s="75">
        <v>76482</v>
      </c>
      <c r="R919" s="194">
        <v>313100.86499999999</v>
      </c>
      <c r="S919" s="194">
        <v>5824.1</v>
      </c>
      <c r="T919" s="70">
        <v>1647.1350000000007</v>
      </c>
      <c r="U919" s="80">
        <v>81753.173721494197</v>
      </c>
      <c r="V919" s="73"/>
      <c r="X919" s="30"/>
      <c r="Y919" s="54">
        <v>910</v>
      </c>
      <c r="Z919" s="70">
        <v>45441.55</v>
      </c>
      <c r="AA919" s="75">
        <v>12310</v>
      </c>
      <c r="AB919" s="75">
        <v>5719.420000000001</v>
      </c>
      <c r="AC919" s="75">
        <v>75986.58</v>
      </c>
      <c r="AD919" s="194">
        <v>324747.5</v>
      </c>
      <c r="AE919" s="194">
        <v>7085.3</v>
      </c>
      <c r="AF919" s="76">
        <v>7.0000000000000007E-2</v>
      </c>
      <c r="AG919" s="70">
        <v>4308.5000000000009</v>
      </c>
      <c r="AH919" s="31"/>
    </row>
    <row r="920" spans="3:34" x14ac:dyDescent="0.25">
      <c r="C920" s="72"/>
      <c r="D920" s="54">
        <v>911</v>
      </c>
      <c r="E920" s="70">
        <v>86065.16</v>
      </c>
      <c r="F920" s="75">
        <v>9563</v>
      </c>
      <c r="G920" s="75">
        <v>96716</v>
      </c>
      <c r="H920" s="194">
        <v>371976.5</v>
      </c>
      <c r="I920" s="194">
        <v>13690.69</v>
      </c>
      <c r="J920" s="75">
        <v>81753.173721494197</v>
      </c>
      <c r="K920" s="73"/>
      <c r="M920" s="72"/>
      <c r="N920" s="54">
        <v>911</v>
      </c>
      <c r="O920" s="70">
        <v>35386.642500000031</v>
      </c>
      <c r="P920" s="75">
        <v>8887</v>
      </c>
      <c r="Q920" s="75">
        <v>81041</v>
      </c>
      <c r="R920" s="194">
        <v>313659.34250000003</v>
      </c>
      <c r="S920" s="194">
        <v>6052.05</v>
      </c>
      <c r="T920" s="70">
        <v>1088.6575000000005</v>
      </c>
      <c r="U920" s="80">
        <v>81753.173721494197</v>
      </c>
      <c r="V920" s="73"/>
      <c r="X920" s="30"/>
      <c r="Y920" s="54">
        <v>911</v>
      </c>
      <c r="Z920" s="70">
        <v>87919.9</v>
      </c>
      <c r="AA920" s="75">
        <v>11740</v>
      </c>
      <c r="AB920" s="75">
        <v>7563.12</v>
      </c>
      <c r="AC920" s="75">
        <v>86975.88</v>
      </c>
      <c r="AD920" s="194">
        <v>367867.5</v>
      </c>
      <c r="AE920" s="194">
        <v>7726.95</v>
      </c>
      <c r="AF920" s="76">
        <v>0.08</v>
      </c>
      <c r="AG920" s="70">
        <v>4109.0000000000009</v>
      </c>
      <c r="AH920" s="31"/>
    </row>
    <row r="921" spans="3:34" x14ac:dyDescent="0.25">
      <c r="C921" s="72"/>
      <c r="D921" s="54">
        <v>912</v>
      </c>
      <c r="E921" s="70">
        <v>44493.59</v>
      </c>
      <c r="F921" s="75">
        <v>5613</v>
      </c>
      <c r="G921" s="75">
        <v>88403</v>
      </c>
      <c r="H921" s="194">
        <v>329056</v>
      </c>
      <c r="I921" s="194">
        <v>12341.76</v>
      </c>
      <c r="J921" s="75">
        <v>81753.173721494197</v>
      </c>
      <c r="K921" s="73"/>
      <c r="M921" s="72"/>
      <c r="N921" s="54">
        <v>912</v>
      </c>
      <c r="O921" s="70">
        <v>35380.479999999996</v>
      </c>
      <c r="P921" s="75">
        <v>8972</v>
      </c>
      <c r="Q921" s="75">
        <v>80956</v>
      </c>
      <c r="R921" s="194">
        <v>313648.93</v>
      </c>
      <c r="S921" s="194">
        <v>6047.8</v>
      </c>
      <c r="T921" s="70">
        <v>1099.0700000000004</v>
      </c>
      <c r="U921" s="80">
        <v>81753.173721494197</v>
      </c>
      <c r="V921" s="73"/>
      <c r="X921" s="30"/>
      <c r="Y921" s="54">
        <v>912</v>
      </c>
      <c r="Z921" s="70">
        <v>44917.150000000009</v>
      </c>
      <c r="AA921" s="75">
        <v>14058</v>
      </c>
      <c r="AB921" s="75">
        <v>6396.64</v>
      </c>
      <c r="AC921" s="75">
        <v>73561.36</v>
      </c>
      <c r="AD921" s="194">
        <v>324135.7</v>
      </c>
      <c r="AE921" s="194">
        <v>6997.9</v>
      </c>
      <c r="AF921" s="76">
        <v>0.08</v>
      </c>
      <c r="AG921" s="70">
        <v>4920.3000000000011</v>
      </c>
      <c r="AH921" s="31"/>
    </row>
    <row r="922" spans="3:34" x14ac:dyDescent="0.25">
      <c r="C922" s="72"/>
      <c r="D922" s="54">
        <v>913</v>
      </c>
      <c r="E922" s="70">
        <v>86065.16</v>
      </c>
      <c r="F922" s="75">
        <v>8459</v>
      </c>
      <c r="G922" s="75">
        <v>97820</v>
      </c>
      <c r="H922" s="194">
        <v>371976.5</v>
      </c>
      <c r="I922" s="194">
        <v>13690.69</v>
      </c>
      <c r="J922" s="75">
        <v>81753.173721494197</v>
      </c>
      <c r="K922" s="73"/>
      <c r="M922" s="72"/>
      <c r="N922" s="54">
        <v>913</v>
      </c>
      <c r="O922" s="70">
        <v>35260.565000000002</v>
      </c>
      <c r="P922" s="75">
        <v>10626</v>
      </c>
      <c r="Q922" s="75">
        <v>79302</v>
      </c>
      <c r="R922" s="194">
        <v>313446.315</v>
      </c>
      <c r="S922" s="194">
        <v>5965.1</v>
      </c>
      <c r="T922" s="70">
        <v>1301.6850000000006</v>
      </c>
      <c r="U922" s="80">
        <v>81753.173721494197</v>
      </c>
      <c r="V922" s="73"/>
      <c r="X922" s="30"/>
      <c r="Y922" s="54">
        <v>913</v>
      </c>
      <c r="Z922" s="70">
        <v>87593.199999999983</v>
      </c>
      <c r="AA922" s="75">
        <v>12829</v>
      </c>
      <c r="AB922" s="75">
        <v>6541.5000000000009</v>
      </c>
      <c r="AC922" s="75">
        <v>86908.5</v>
      </c>
      <c r="AD922" s="194">
        <v>367486.35</v>
      </c>
      <c r="AE922" s="194">
        <v>7672.5</v>
      </c>
      <c r="AF922" s="76">
        <v>7.0000000000000007E-2</v>
      </c>
      <c r="AG922" s="70">
        <v>4490.1500000000015</v>
      </c>
      <c r="AH922" s="31"/>
    </row>
    <row r="923" spans="3:34" x14ac:dyDescent="0.25">
      <c r="C923" s="72"/>
      <c r="D923" s="54">
        <v>914</v>
      </c>
      <c r="E923" s="70">
        <v>44493.59</v>
      </c>
      <c r="F923" s="75">
        <v>4673</v>
      </c>
      <c r="G923" s="75">
        <v>89343</v>
      </c>
      <c r="H923" s="194">
        <v>329056</v>
      </c>
      <c r="I923" s="194">
        <v>12341.76</v>
      </c>
      <c r="J923" s="75">
        <v>81753.173721494197</v>
      </c>
      <c r="K923" s="73"/>
      <c r="M923" s="72"/>
      <c r="N923" s="54">
        <v>914</v>
      </c>
      <c r="O923" s="70">
        <v>63530.550000000025</v>
      </c>
      <c r="P923" s="75">
        <v>9760</v>
      </c>
      <c r="Q923" s="75">
        <v>88344</v>
      </c>
      <c r="R923" s="194">
        <v>342168.4</v>
      </c>
      <c r="S923" s="194">
        <v>6417.2</v>
      </c>
      <c r="T923" s="70">
        <v>1195.6000000000006</v>
      </c>
      <c r="U923" s="80">
        <v>81753.173721494197</v>
      </c>
      <c r="V923" s="73"/>
      <c r="X923" s="30"/>
      <c r="Y923" s="54">
        <v>914</v>
      </c>
      <c r="Z923" s="70">
        <v>46033.750000000022</v>
      </c>
      <c r="AA923" s="75">
        <v>10336</v>
      </c>
      <c r="AB923" s="75">
        <v>7531.2</v>
      </c>
      <c r="AC923" s="75">
        <v>76148.800000000003</v>
      </c>
      <c r="AD923" s="194">
        <v>325438.40000000002</v>
      </c>
      <c r="AE923" s="194">
        <v>7184</v>
      </c>
      <c r="AF923" s="76">
        <v>0.09</v>
      </c>
      <c r="AG923" s="70">
        <v>3617.6000000000008</v>
      </c>
      <c r="AH923" s="31"/>
    </row>
    <row r="924" spans="3:34" x14ac:dyDescent="0.25">
      <c r="C924" s="72"/>
      <c r="D924" s="54">
        <v>915</v>
      </c>
      <c r="E924" s="70">
        <v>30635.27</v>
      </c>
      <c r="F924" s="75">
        <v>8023</v>
      </c>
      <c r="G924" s="75">
        <v>81905</v>
      </c>
      <c r="H924" s="194">
        <v>314748</v>
      </c>
      <c r="I924" s="194">
        <v>11892.08</v>
      </c>
      <c r="J924" s="75">
        <v>81753.173721494197</v>
      </c>
      <c r="K924" s="73"/>
      <c r="M924" s="72"/>
      <c r="N924" s="54">
        <v>915</v>
      </c>
      <c r="O924" s="70">
        <v>49106.064999999966</v>
      </c>
      <c r="P924" s="75">
        <v>14186</v>
      </c>
      <c r="Q924" s="75">
        <v>79830</v>
      </c>
      <c r="R924" s="194">
        <v>327318.21499999997</v>
      </c>
      <c r="S924" s="194">
        <v>5991.5</v>
      </c>
      <c r="T924" s="70">
        <v>1737.7850000000008</v>
      </c>
      <c r="U924" s="80">
        <v>81753.173721494197</v>
      </c>
      <c r="V924" s="73"/>
      <c r="X924" s="30"/>
      <c r="Y924" s="54">
        <v>915</v>
      </c>
      <c r="Z924" s="70">
        <v>59969.35000000002</v>
      </c>
      <c r="AA924" s="75">
        <v>10896</v>
      </c>
      <c r="AB924" s="75">
        <v>7848.7199999999993</v>
      </c>
      <c r="AC924" s="75">
        <v>79359.28</v>
      </c>
      <c r="AD924" s="194">
        <v>339550.4</v>
      </c>
      <c r="AE924" s="194">
        <v>7360.4000000000005</v>
      </c>
      <c r="AF924" s="76">
        <v>0.09</v>
      </c>
      <c r="AG924" s="70">
        <v>3813.6000000000008</v>
      </c>
      <c r="AH924" s="31"/>
    </row>
    <row r="925" spans="3:34" x14ac:dyDescent="0.25">
      <c r="C925" s="72"/>
      <c r="D925" s="54">
        <v>916</v>
      </c>
      <c r="E925" s="70">
        <v>44493.59</v>
      </c>
      <c r="F925" s="75">
        <v>5634</v>
      </c>
      <c r="G925" s="75">
        <v>88382</v>
      </c>
      <c r="H925" s="194">
        <v>329056</v>
      </c>
      <c r="I925" s="194">
        <v>12341.76</v>
      </c>
      <c r="J925" s="75">
        <v>81753.173721494197</v>
      </c>
      <c r="K925" s="73"/>
      <c r="M925" s="72"/>
      <c r="N925" s="54">
        <v>916</v>
      </c>
      <c r="O925" s="70">
        <v>49112.227500000001</v>
      </c>
      <c r="P925" s="75">
        <v>14101</v>
      </c>
      <c r="Q925" s="75">
        <v>79915</v>
      </c>
      <c r="R925" s="194">
        <v>327328.6275</v>
      </c>
      <c r="S925" s="194">
        <v>5995.75</v>
      </c>
      <c r="T925" s="70">
        <v>1727.3725000000009</v>
      </c>
      <c r="U925" s="80">
        <v>81753.173721494197</v>
      </c>
      <c r="V925" s="73"/>
      <c r="X925" s="30"/>
      <c r="Y925" s="54">
        <v>916</v>
      </c>
      <c r="Z925" s="70">
        <v>87247.9</v>
      </c>
      <c r="AA925" s="75">
        <v>13980</v>
      </c>
      <c r="AB925" s="75">
        <v>5537.94</v>
      </c>
      <c r="AC925" s="75">
        <v>86761.06</v>
      </c>
      <c r="AD925" s="194">
        <v>367083.5</v>
      </c>
      <c r="AE925" s="194">
        <v>7614.95</v>
      </c>
      <c r="AF925" s="76">
        <v>0.06</v>
      </c>
      <c r="AG925" s="70">
        <v>4893.0000000000009</v>
      </c>
      <c r="AH925" s="31"/>
    </row>
    <row r="926" spans="3:34" x14ac:dyDescent="0.25">
      <c r="C926" s="72"/>
      <c r="D926" s="54">
        <v>917</v>
      </c>
      <c r="E926" s="70">
        <v>44493.59</v>
      </c>
      <c r="F926" s="75">
        <v>7576</v>
      </c>
      <c r="G926" s="75">
        <v>86440</v>
      </c>
      <c r="H926" s="194">
        <v>329056</v>
      </c>
      <c r="I926" s="194">
        <v>12341.76</v>
      </c>
      <c r="J926" s="75">
        <v>81753.173721494197</v>
      </c>
      <c r="K926" s="73"/>
      <c r="M926" s="72"/>
      <c r="N926" s="54">
        <v>917</v>
      </c>
      <c r="O926" s="70">
        <v>35121.582499999982</v>
      </c>
      <c r="P926" s="75">
        <v>12543</v>
      </c>
      <c r="Q926" s="75">
        <v>77385</v>
      </c>
      <c r="R926" s="194">
        <v>313211.48249999998</v>
      </c>
      <c r="S926" s="194">
        <v>5869.25</v>
      </c>
      <c r="T926" s="70">
        <v>1536.5175000000006</v>
      </c>
      <c r="U926" s="80">
        <v>81753.173721494197</v>
      </c>
      <c r="V926" s="73"/>
      <c r="X926" s="30"/>
      <c r="Y926" s="54">
        <v>917</v>
      </c>
      <c r="Z926" s="70">
        <v>31266.849999999988</v>
      </c>
      <c r="AA926" s="75">
        <v>12547</v>
      </c>
      <c r="AB926" s="75">
        <v>4642.8599999999997</v>
      </c>
      <c r="AC926" s="75">
        <v>72738.14</v>
      </c>
      <c r="AD926" s="194">
        <v>310356.55</v>
      </c>
      <c r="AE926" s="194">
        <v>6869.05</v>
      </c>
      <c r="AF926" s="76">
        <v>0.06</v>
      </c>
      <c r="AG926" s="70">
        <v>4391.4500000000007</v>
      </c>
      <c r="AH926" s="31"/>
    </row>
    <row r="927" spans="3:34" x14ac:dyDescent="0.25">
      <c r="C927" s="72"/>
      <c r="D927" s="54">
        <v>918</v>
      </c>
      <c r="E927" s="70">
        <v>44493.59</v>
      </c>
      <c r="F927" s="75">
        <v>9462</v>
      </c>
      <c r="G927" s="75">
        <v>84554</v>
      </c>
      <c r="H927" s="194">
        <v>329056</v>
      </c>
      <c r="I927" s="194">
        <v>12341.76</v>
      </c>
      <c r="J927" s="75">
        <v>81753.173721494197</v>
      </c>
      <c r="K927" s="73"/>
      <c r="M927" s="72"/>
      <c r="N927" s="54">
        <v>918</v>
      </c>
      <c r="O927" s="70">
        <v>91438.137499999983</v>
      </c>
      <c r="P927" s="75">
        <v>13845</v>
      </c>
      <c r="Q927" s="75">
        <v>92434</v>
      </c>
      <c r="R927" s="194">
        <v>370280.48749999999</v>
      </c>
      <c r="S927" s="194">
        <v>6621.7</v>
      </c>
      <c r="T927" s="70">
        <v>1696.0125000000007</v>
      </c>
      <c r="U927" s="80">
        <v>81753.173721494197</v>
      </c>
      <c r="V927" s="73"/>
      <c r="X927" s="30"/>
      <c r="Y927" s="54">
        <v>918</v>
      </c>
      <c r="Z927" s="70">
        <v>32064.55000000001</v>
      </c>
      <c r="AA927" s="75">
        <v>9888</v>
      </c>
      <c r="AB927" s="75">
        <v>6403.2</v>
      </c>
      <c r="AC927" s="75">
        <v>73636.800000000003</v>
      </c>
      <c r="AD927" s="194">
        <v>311287.2</v>
      </c>
      <c r="AE927" s="194">
        <v>7002</v>
      </c>
      <c r="AF927" s="76">
        <v>0.08</v>
      </c>
      <c r="AG927" s="70">
        <v>3460.8000000000011</v>
      </c>
      <c r="AH927" s="31"/>
    </row>
    <row r="928" spans="3:34" x14ac:dyDescent="0.25">
      <c r="C928" s="72"/>
      <c r="D928" s="54">
        <v>919</v>
      </c>
      <c r="E928" s="70">
        <v>30635.27</v>
      </c>
      <c r="F928" s="75">
        <v>6079</v>
      </c>
      <c r="G928" s="75">
        <v>83849</v>
      </c>
      <c r="H928" s="194">
        <v>314748</v>
      </c>
      <c r="I928" s="194">
        <v>11892.08</v>
      </c>
      <c r="J928" s="75">
        <v>81753.173721494197</v>
      </c>
      <c r="K928" s="73"/>
      <c r="M928" s="72"/>
      <c r="N928" s="54">
        <v>919</v>
      </c>
      <c r="O928" s="70">
        <v>49118.389999999978</v>
      </c>
      <c r="P928" s="75">
        <v>14016</v>
      </c>
      <c r="Q928" s="75">
        <v>80000</v>
      </c>
      <c r="R928" s="194">
        <v>327339.03999999998</v>
      </c>
      <c r="S928" s="194">
        <v>6000</v>
      </c>
      <c r="T928" s="70">
        <v>1716.9600000000007</v>
      </c>
      <c r="U928" s="80">
        <v>81753.173721494197</v>
      </c>
      <c r="V928" s="73"/>
      <c r="X928" s="30"/>
      <c r="Y928" s="54">
        <v>919</v>
      </c>
      <c r="Z928" s="70">
        <v>87317.199999999983</v>
      </c>
      <c r="AA928" s="75">
        <v>13749</v>
      </c>
      <c r="AB928" s="75">
        <v>8327.6999999999989</v>
      </c>
      <c r="AC928" s="75">
        <v>84202.3</v>
      </c>
      <c r="AD928" s="194">
        <v>367164.35</v>
      </c>
      <c r="AE928" s="194">
        <v>7626.5</v>
      </c>
      <c r="AF928" s="76">
        <v>0.09</v>
      </c>
      <c r="AG928" s="70">
        <v>4812.1500000000015</v>
      </c>
      <c r="AH928" s="31"/>
    </row>
    <row r="929" spans="3:34" x14ac:dyDescent="0.25">
      <c r="C929" s="72"/>
      <c r="D929" s="54">
        <v>920</v>
      </c>
      <c r="E929" s="70">
        <v>44493.59</v>
      </c>
      <c r="F929" s="75">
        <v>8494</v>
      </c>
      <c r="G929" s="75">
        <v>85522</v>
      </c>
      <c r="H929" s="194">
        <v>329056</v>
      </c>
      <c r="I929" s="194">
        <v>12341.76</v>
      </c>
      <c r="J929" s="75">
        <v>81753.173721494197</v>
      </c>
      <c r="K929" s="73"/>
      <c r="M929" s="72"/>
      <c r="N929" s="54">
        <v>920</v>
      </c>
      <c r="O929" s="70">
        <v>63378.517500000016</v>
      </c>
      <c r="P929" s="75">
        <v>11857</v>
      </c>
      <c r="Q929" s="75">
        <v>86247</v>
      </c>
      <c r="R929" s="194">
        <v>341911.51750000002</v>
      </c>
      <c r="S929" s="194">
        <v>6312.35</v>
      </c>
      <c r="T929" s="70">
        <v>1452.4825000000005</v>
      </c>
      <c r="U929" s="80">
        <v>81753.173721494197</v>
      </c>
      <c r="V929" s="73"/>
      <c r="X929" s="30"/>
      <c r="Y929" s="54">
        <v>920</v>
      </c>
      <c r="Z929" s="70">
        <v>59134.750000000015</v>
      </c>
      <c r="AA929" s="75">
        <v>13678</v>
      </c>
      <c r="AB929" s="75">
        <v>7598.34</v>
      </c>
      <c r="AC929" s="75">
        <v>76827.66</v>
      </c>
      <c r="AD929" s="194">
        <v>338576.7</v>
      </c>
      <c r="AE929" s="194">
        <v>7221.3</v>
      </c>
      <c r="AF929" s="76">
        <v>0.09</v>
      </c>
      <c r="AG929" s="70">
        <v>4787.3000000000011</v>
      </c>
      <c r="AH929" s="31"/>
    </row>
    <row r="930" spans="3:34" x14ac:dyDescent="0.25">
      <c r="C930" s="72"/>
      <c r="D930" s="54">
        <v>921</v>
      </c>
      <c r="E930" s="70">
        <v>30635.27</v>
      </c>
      <c r="F930" s="75">
        <v>5264</v>
      </c>
      <c r="G930" s="75">
        <v>84664</v>
      </c>
      <c r="H930" s="194">
        <v>314748</v>
      </c>
      <c r="I930" s="194">
        <v>11892.08</v>
      </c>
      <c r="J930" s="75">
        <v>81753.173721494197</v>
      </c>
      <c r="K930" s="73"/>
      <c r="M930" s="72"/>
      <c r="N930" s="54">
        <v>921</v>
      </c>
      <c r="O930" s="70">
        <v>49377.359999999986</v>
      </c>
      <c r="P930" s="75">
        <v>10444</v>
      </c>
      <c r="Q930" s="75">
        <v>83572</v>
      </c>
      <c r="R930" s="194">
        <v>327776.61</v>
      </c>
      <c r="S930" s="194">
        <v>6178.6</v>
      </c>
      <c r="T930" s="70">
        <v>1279.3900000000006</v>
      </c>
      <c r="U930" s="80">
        <v>81753.173721494197</v>
      </c>
      <c r="V930" s="73"/>
      <c r="X930" s="30"/>
      <c r="Y930" s="54">
        <v>921</v>
      </c>
      <c r="Z930" s="70">
        <v>60287.049999999988</v>
      </c>
      <c r="AA930" s="75">
        <v>9837</v>
      </c>
      <c r="AB930" s="75">
        <v>7944.03</v>
      </c>
      <c r="AC930" s="75">
        <v>80322.97</v>
      </c>
      <c r="AD930" s="194">
        <v>339921.05</v>
      </c>
      <c r="AE930" s="194">
        <v>7413.35</v>
      </c>
      <c r="AF930" s="76">
        <v>0.09</v>
      </c>
      <c r="AG930" s="70">
        <v>3442.9500000000007</v>
      </c>
      <c r="AH930" s="31"/>
    </row>
    <row r="931" spans="3:34" x14ac:dyDescent="0.25">
      <c r="C931" s="72"/>
      <c r="D931" s="54">
        <v>922</v>
      </c>
      <c r="E931" s="70">
        <v>30635.27</v>
      </c>
      <c r="F931" s="75">
        <v>8145</v>
      </c>
      <c r="G931" s="75">
        <v>81783</v>
      </c>
      <c r="H931" s="194">
        <v>314748</v>
      </c>
      <c r="I931" s="194">
        <v>11892.08</v>
      </c>
      <c r="J931" s="75">
        <v>81753.173721494197</v>
      </c>
      <c r="K931" s="73"/>
      <c r="M931" s="72"/>
      <c r="N931" s="54">
        <v>922</v>
      </c>
      <c r="O931" s="70">
        <v>35108.46</v>
      </c>
      <c r="P931" s="75">
        <v>12724</v>
      </c>
      <c r="Q931" s="75">
        <v>77204</v>
      </c>
      <c r="R931" s="194">
        <v>313189.31</v>
      </c>
      <c r="S931" s="194">
        <v>5860.2000000000007</v>
      </c>
      <c r="T931" s="70">
        <v>1558.6900000000007</v>
      </c>
      <c r="U931" s="80">
        <v>81753.173721494197</v>
      </c>
      <c r="V931" s="73"/>
      <c r="X931" s="30"/>
      <c r="Y931" s="54">
        <v>922</v>
      </c>
      <c r="Z931" s="70">
        <v>45445.150000000009</v>
      </c>
      <c r="AA931" s="75">
        <v>12298</v>
      </c>
      <c r="AB931" s="75">
        <v>8171.8</v>
      </c>
      <c r="AC931" s="75">
        <v>73546.2</v>
      </c>
      <c r="AD931" s="194">
        <v>324751.7</v>
      </c>
      <c r="AE931" s="194">
        <v>7085.9</v>
      </c>
      <c r="AF931" s="76">
        <v>0.1</v>
      </c>
      <c r="AG931" s="70">
        <v>4304.3000000000011</v>
      </c>
      <c r="AH931" s="31"/>
    </row>
    <row r="932" spans="3:34" x14ac:dyDescent="0.25">
      <c r="C932" s="72"/>
      <c r="D932" s="54">
        <v>923</v>
      </c>
      <c r="E932" s="70">
        <v>58351.91</v>
      </c>
      <c r="F932" s="75">
        <v>4848</v>
      </c>
      <c r="G932" s="75">
        <v>93256</v>
      </c>
      <c r="H932" s="194">
        <v>343364</v>
      </c>
      <c r="I932" s="194">
        <v>12791.44</v>
      </c>
      <c r="J932" s="75">
        <v>81753.173721494197</v>
      </c>
      <c r="K932" s="73"/>
      <c r="M932" s="72"/>
      <c r="N932" s="54">
        <v>923</v>
      </c>
      <c r="O932" s="70">
        <v>49378.375000000015</v>
      </c>
      <c r="P932" s="75">
        <v>10430</v>
      </c>
      <c r="Q932" s="75">
        <v>83586</v>
      </c>
      <c r="R932" s="194">
        <v>327778.32500000001</v>
      </c>
      <c r="S932" s="194">
        <v>6179.3</v>
      </c>
      <c r="T932" s="70">
        <v>1277.6750000000006</v>
      </c>
      <c r="U932" s="80">
        <v>81753.173721494197</v>
      </c>
      <c r="V932" s="73"/>
      <c r="X932" s="30"/>
      <c r="Y932" s="54">
        <v>923</v>
      </c>
      <c r="Z932" s="70">
        <v>59421.549999999988</v>
      </c>
      <c r="AA932" s="75">
        <v>12722</v>
      </c>
      <c r="AB932" s="75">
        <v>8538.2000000000007</v>
      </c>
      <c r="AC932" s="75">
        <v>76843.8</v>
      </c>
      <c r="AD932" s="194">
        <v>338911.3</v>
      </c>
      <c r="AE932" s="194">
        <v>7269.1</v>
      </c>
      <c r="AF932" s="76">
        <v>0.1</v>
      </c>
      <c r="AG932" s="70">
        <v>4452.7000000000007</v>
      </c>
      <c r="AH932" s="31"/>
    </row>
    <row r="933" spans="3:34" x14ac:dyDescent="0.25">
      <c r="C933" s="72"/>
      <c r="D933" s="54">
        <v>924</v>
      </c>
      <c r="E933" s="70">
        <v>44493.59</v>
      </c>
      <c r="F933" s="75">
        <v>6707</v>
      </c>
      <c r="G933" s="75">
        <v>87309</v>
      </c>
      <c r="H933" s="194">
        <v>329056</v>
      </c>
      <c r="I933" s="194">
        <v>12341.76</v>
      </c>
      <c r="J933" s="75">
        <v>81753.173721494197</v>
      </c>
      <c r="K933" s="73"/>
      <c r="M933" s="72"/>
      <c r="N933" s="54">
        <v>924</v>
      </c>
      <c r="O933" s="70">
        <v>63385.695000000022</v>
      </c>
      <c r="P933" s="75">
        <v>11758</v>
      </c>
      <c r="Q933" s="75">
        <v>86346</v>
      </c>
      <c r="R933" s="194">
        <v>341923.64500000002</v>
      </c>
      <c r="S933" s="194">
        <v>6317.3</v>
      </c>
      <c r="T933" s="70">
        <v>1440.3550000000007</v>
      </c>
      <c r="U933" s="80">
        <v>81753.173721494197</v>
      </c>
      <c r="V933" s="73"/>
      <c r="X933" s="30"/>
      <c r="Y933" s="54">
        <v>924</v>
      </c>
      <c r="Z933" s="70">
        <v>59451.85000000002</v>
      </c>
      <c r="AA933" s="75">
        <v>12621</v>
      </c>
      <c r="AB933" s="75">
        <v>5128.9799999999996</v>
      </c>
      <c r="AC933" s="75">
        <v>80354.02</v>
      </c>
      <c r="AD933" s="194">
        <v>338946.65</v>
      </c>
      <c r="AE933" s="194">
        <v>7274.1500000000005</v>
      </c>
      <c r="AF933" s="76">
        <v>0.06</v>
      </c>
      <c r="AG933" s="70">
        <v>4417.3500000000013</v>
      </c>
      <c r="AH933" s="31"/>
    </row>
    <row r="934" spans="3:34" x14ac:dyDescent="0.25">
      <c r="C934" s="72"/>
      <c r="D934" s="54">
        <v>925</v>
      </c>
      <c r="E934" s="70">
        <v>44493.59</v>
      </c>
      <c r="F934" s="75">
        <v>8440</v>
      </c>
      <c r="G934" s="75">
        <v>85576</v>
      </c>
      <c r="H934" s="194">
        <v>329056</v>
      </c>
      <c r="I934" s="194">
        <v>12341.76</v>
      </c>
      <c r="J934" s="75">
        <v>81753.173721494197</v>
      </c>
      <c r="K934" s="73"/>
      <c r="M934" s="72"/>
      <c r="N934" s="54">
        <v>925</v>
      </c>
      <c r="O934" s="70">
        <v>35250.269999999982</v>
      </c>
      <c r="P934" s="75">
        <v>10768</v>
      </c>
      <c r="Q934" s="75">
        <v>79160</v>
      </c>
      <c r="R934" s="194">
        <v>313428.92</v>
      </c>
      <c r="S934" s="194">
        <v>5958</v>
      </c>
      <c r="T934" s="70">
        <v>1319.0800000000006</v>
      </c>
      <c r="U934" s="80">
        <v>81753.173721494197</v>
      </c>
      <c r="V934" s="73"/>
      <c r="X934" s="30"/>
      <c r="Y934" s="54">
        <v>925</v>
      </c>
      <c r="Z934" s="70">
        <v>60318.250000000015</v>
      </c>
      <c r="AA934" s="75">
        <v>9733</v>
      </c>
      <c r="AB934" s="75">
        <v>7953.3899999999994</v>
      </c>
      <c r="AC934" s="75">
        <v>80417.61</v>
      </c>
      <c r="AD934" s="194">
        <v>339957.45</v>
      </c>
      <c r="AE934" s="194">
        <v>7418.55</v>
      </c>
      <c r="AF934" s="76">
        <v>0.09</v>
      </c>
      <c r="AG934" s="70">
        <v>3406.5500000000011</v>
      </c>
      <c r="AH934" s="31"/>
    </row>
    <row r="935" spans="3:34" x14ac:dyDescent="0.25">
      <c r="C935" s="72"/>
      <c r="D935" s="54">
        <v>926</v>
      </c>
      <c r="E935" s="70">
        <v>30635.27</v>
      </c>
      <c r="F935" s="75">
        <v>5545</v>
      </c>
      <c r="G935" s="75">
        <v>84383</v>
      </c>
      <c r="H935" s="194">
        <v>314748</v>
      </c>
      <c r="I935" s="194">
        <v>11892.08</v>
      </c>
      <c r="J935" s="75">
        <v>81753.173721494197</v>
      </c>
      <c r="K935" s="73"/>
      <c r="M935" s="72"/>
      <c r="N935" s="54">
        <v>926</v>
      </c>
      <c r="O935" s="70">
        <v>49451.527499999989</v>
      </c>
      <c r="P935" s="75">
        <v>9421</v>
      </c>
      <c r="Q935" s="75">
        <v>84595</v>
      </c>
      <c r="R935" s="194">
        <v>327901.92749999999</v>
      </c>
      <c r="S935" s="194">
        <v>6229.75</v>
      </c>
      <c r="T935" s="70">
        <v>1154.0725000000004</v>
      </c>
      <c r="U935" s="80">
        <v>81753.173721494197</v>
      </c>
      <c r="V935" s="73"/>
      <c r="X935" s="30"/>
      <c r="Y935" s="54">
        <v>926</v>
      </c>
      <c r="Z935" s="70">
        <v>58827.549999999988</v>
      </c>
      <c r="AA935" s="75">
        <v>14702</v>
      </c>
      <c r="AB935" s="75">
        <v>7506.1799999999994</v>
      </c>
      <c r="AC935" s="75">
        <v>75895.820000000007</v>
      </c>
      <c r="AD935" s="194">
        <v>338218.3</v>
      </c>
      <c r="AE935" s="194">
        <v>7170.1</v>
      </c>
      <c r="AF935" s="76">
        <v>0.09</v>
      </c>
      <c r="AG935" s="70">
        <v>5145.7000000000016</v>
      </c>
      <c r="AH935" s="31"/>
    </row>
    <row r="936" spans="3:34" x14ac:dyDescent="0.25">
      <c r="C936" s="72"/>
      <c r="D936" s="54">
        <v>927</v>
      </c>
      <c r="E936" s="70">
        <v>30635.27</v>
      </c>
      <c r="F936" s="75">
        <v>7303</v>
      </c>
      <c r="G936" s="75">
        <v>82625</v>
      </c>
      <c r="H936" s="194">
        <v>314748</v>
      </c>
      <c r="I936" s="194">
        <v>11892.08</v>
      </c>
      <c r="J936" s="75">
        <v>81753.173721494197</v>
      </c>
      <c r="K936" s="73"/>
      <c r="M936" s="72"/>
      <c r="N936" s="54">
        <v>927</v>
      </c>
      <c r="O936" s="70">
        <v>49114.619999999981</v>
      </c>
      <c r="P936" s="75">
        <v>14068</v>
      </c>
      <c r="Q936" s="75">
        <v>79948</v>
      </c>
      <c r="R936" s="194">
        <v>327332.67</v>
      </c>
      <c r="S936" s="194">
        <v>5997.4</v>
      </c>
      <c r="T936" s="70">
        <v>1723.3300000000008</v>
      </c>
      <c r="U936" s="80">
        <v>81753.173721494197</v>
      </c>
      <c r="V936" s="73"/>
      <c r="X936" s="30"/>
      <c r="Y936" s="54">
        <v>927</v>
      </c>
      <c r="Z936" s="70">
        <v>60277.750000000015</v>
      </c>
      <c r="AA936" s="75">
        <v>9868</v>
      </c>
      <c r="AB936" s="75">
        <v>6176.52</v>
      </c>
      <c r="AC936" s="75">
        <v>82059.48</v>
      </c>
      <c r="AD936" s="194">
        <v>339910.2</v>
      </c>
      <c r="AE936" s="194">
        <v>7411.8</v>
      </c>
      <c r="AF936" s="76">
        <v>7.0000000000000007E-2</v>
      </c>
      <c r="AG936" s="70">
        <v>3453.8000000000011</v>
      </c>
      <c r="AH936" s="31"/>
    </row>
    <row r="937" spans="3:34" x14ac:dyDescent="0.25">
      <c r="C937" s="72"/>
      <c r="D937" s="54">
        <v>928</v>
      </c>
      <c r="E937" s="70">
        <v>58351.91</v>
      </c>
      <c r="F937" s="75">
        <v>4927</v>
      </c>
      <c r="G937" s="75">
        <v>93177</v>
      </c>
      <c r="H937" s="194">
        <v>343364</v>
      </c>
      <c r="I937" s="194">
        <v>12791.44</v>
      </c>
      <c r="J937" s="75">
        <v>81753.173721494197</v>
      </c>
      <c r="K937" s="73"/>
      <c r="M937" s="72"/>
      <c r="N937" s="54">
        <v>928</v>
      </c>
      <c r="O937" s="70">
        <v>63530.622500000019</v>
      </c>
      <c r="P937" s="75">
        <v>9759</v>
      </c>
      <c r="Q937" s="75">
        <v>88345</v>
      </c>
      <c r="R937" s="194">
        <v>342168.52250000002</v>
      </c>
      <c r="S937" s="194">
        <v>6417.25</v>
      </c>
      <c r="T937" s="70">
        <v>1195.4775000000004</v>
      </c>
      <c r="U937" s="80">
        <v>81753.173721494197</v>
      </c>
      <c r="V937" s="73"/>
      <c r="X937" s="30"/>
      <c r="Y937" s="54">
        <v>928</v>
      </c>
      <c r="Z937" s="70">
        <v>45458.650000000009</v>
      </c>
      <c r="AA937" s="75">
        <v>12253</v>
      </c>
      <c r="AB937" s="75">
        <v>4905.78</v>
      </c>
      <c r="AC937" s="75">
        <v>76857.22</v>
      </c>
      <c r="AD937" s="194">
        <v>324767.45</v>
      </c>
      <c r="AE937" s="194">
        <v>7088.15</v>
      </c>
      <c r="AF937" s="76">
        <v>0.06</v>
      </c>
      <c r="AG937" s="70">
        <v>4288.5500000000011</v>
      </c>
      <c r="AH937" s="31"/>
    </row>
    <row r="938" spans="3:34" x14ac:dyDescent="0.25">
      <c r="C938" s="72"/>
      <c r="D938" s="54">
        <v>929</v>
      </c>
      <c r="E938" s="70">
        <v>30635.27</v>
      </c>
      <c r="F938" s="75">
        <v>9092</v>
      </c>
      <c r="G938" s="75">
        <v>80836</v>
      </c>
      <c r="H938" s="194">
        <v>314748</v>
      </c>
      <c r="I938" s="194">
        <v>11892.08</v>
      </c>
      <c r="J938" s="75">
        <v>81753.173721494197</v>
      </c>
      <c r="K938" s="73"/>
      <c r="M938" s="72"/>
      <c r="N938" s="54">
        <v>929</v>
      </c>
      <c r="O938" s="70">
        <v>63460.297500000008</v>
      </c>
      <c r="P938" s="75">
        <v>10729</v>
      </c>
      <c r="Q938" s="75">
        <v>87375</v>
      </c>
      <c r="R938" s="194">
        <v>342049.69750000001</v>
      </c>
      <c r="S938" s="194">
        <v>6368.75</v>
      </c>
      <c r="T938" s="70">
        <v>1314.3025000000005</v>
      </c>
      <c r="U938" s="80">
        <v>81753.173721494197</v>
      </c>
      <c r="V938" s="73"/>
      <c r="X938" s="30"/>
      <c r="Y938" s="54">
        <v>929</v>
      </c>
      <c r="Z938" s="70">
        <v>30979.749999999978</v>
      </c>
      <c r="AA938" s="75">
        <v>13504</v>
      </c>
      <c r="AB938" s="75">
        <v>7642.4000000000005</v>
      </c>
      <c r="AC938" s="75">
        <v>68781.600000000006</v>
      </c>
      <c r="AD938" s="194">
        <v>310021.59999999998</v>
      </c>
      <c r="AE938" s="194">
        <v>6821.2000000000007</v>
      </c>
      <c r="AF938" s="76">
        <v>0.1</v>
      </c>
      <c r="AG938" s="70">
        <v>4726.4000000000015</v>
      </c>
      <c r="AH938" s="31"/>
    </row>
    <row r="939" spans="3:34" x14ac:dyDescent="0.25">
      <c r="C939" s="72"/>
      <c r="D939" s="54">
        <v>930</v>
      </c>
      <c r="E939" s="70">
        <v>44493.59</v>
      </c>
      <c r="F939" s="75">
        <v>5599</v>
      </c>
      <c r="G939" s="75">
        <v>88417</v>
      </c>
      <c r="H939" s="194">
        <v>329056</v>
      </c>
      <c r="I939" s="194">
        <v>12341.76</v>
      </c>
      <c r="J939" s="75">
        <v>81753.173721494197</v>
      </c>
      <c r="K939" s="73"/>
      <c r="M939" s="72"/>
      <c r="N939" s="54">
        <v>930</v>
      </c>
      <c r="O939" s="70">
        <v>35191.979999999996</v>
      </c>
      <c r="P939" s="75">
        <v>11572</v>
      </c>
      <c r="Q939" s="75">
        <v>78356</v>
      </c>
      <c r="R939" s="194">
        <v>313330.43</v>
      </c>
      <c r="S939" s="194">
        <v>5917.8</v>
      </c>
      <c r="T939" s="70">
        <v>1417.5700000000006</v>
      </c>
      <c r="U939" s="80">
        <v>81753.173721494197</v>
      </c>
      <c r="V939" s="73"/>
      <c r="X939" s="30"/>
      <c r="Y939" s="54">
        <v>930</v>
      </c>
      <c r="Z939" s="70">
        <v>60273.549999999988</v>
      </c>
      <c r="AA939" s="75">
        <v>9882</v>
      </c>
      <c r="AB939" s="75">
        <v>5293.32</v>
      </c>
      <c r="AC939" s="75">
        <v>82928.679999999993</v>
      </c>
      <c r="AD939" s="194">
        <v>339905.3</v>
      </c>
      <c r="AE939" s="194">
        <v>7411.1</v>
      </c>
      <c r="AF939" s="76">
        <v>0.06</v>
      </c>
      <c r="AG939" s="70">
        <v>3458.7000000000007</v>
      </c>
      <c r="AH939" s="31"/>
    </row>
    <row r="940" spans="3:34" x14ac:dyDescent="0.25">
      <c r="C940" s="72"/>
      <c r="D940" s="54">
        <v>931</v>
      </c>
      <c r="E940" s="70">
        <v>86065.16</v>
      </c>
      <c r="F940" s="75">
        <v>5317</v>
      </c>
      <c r="G940" s="75">
        <v>100962</v>
      </c>
      <c r="H940" s="194">
        <v>371976.5</v>
      </c>
      <c r="I940" s="194">
        <v>13690.69</v>
      </c>
      <c r="J940" s="75">
        <v>81753.173721494197</v>
      </c>
      <c r="K940" s="73"/>
      <c r="M940" s="72"/>
      <c r="N940" s="54">
        <v>931</v>
      </c>
      <c r="O940" s="70">
        <v>49382.652499999989</v>
      </c>
      <c r="P940" s="75">
        <v>10371</v>
      </c>
      <c r="Q940" s="75">
        <v>83645</v>
      </c>
      <c r="R940" s="194">
        <v>327785.55249999999</v>
      </c>
      <c r="S940" s="194">
        <v>6182.25</v>
      </c>
      <c r="T940" s="70">
        <v>1270.4475000000004</v>
      </c>
      <c r="U940" s="80">
        <v>81753.173721494197</v>
      </c>
      <c r="V940" s="73"/>
      <c r="X940" s="30"/>
      <c r="Y940" s="54">
        <v>931</v>
      </c>
      <c r="Z940" s="70">
        <v>59416.15</v>
      </c>
      <c r="AA940" s="75">
        <v>12740</v>
      </c>
      <c r="AB940" s="75">
        <v>5975.4800000000005</v>
      </c>
      <c r="AC940" s="75">
        <v>79388.52</v>
      </c>
      <c r="AD940" s="194">
        <v>338905</v>
      </c>
      <c r="AE940" s="194">
        <v>7268.2</v>
      </c>
      <c r="AF940" s="76">
        <v>7.0000000000000007E-2</v>
      </c>
      <c r="AG940" s="70">
        <v>4459.0000000000009</v>
      </c>
      <c r="AH940" s="31"/>
    </row>
    <row r="941" spans="3:34" x14ac:dyDescent="0.25">
      <c r="C941" s="72"/>
      <c r="D941" s="54">
        <v>932</v>
      </c>
      <c r="E941" s="70">
        <v>30635.27</v>
      </c>
      <c r="F941" s="75">
        <v>6327</v>
      </c>
      <c r="G941" s="75">
        <v>83601</v>
      </c>
      <c r="H941" s="194">
        <v>314748</v>
      </c>
      <c r="I941" s="194">
        <v>11892.08</v>
      </c>
      <c r="J941" s="75">
        <v>81753.173721494197</v>
      </c>
      <c r="K941" s="73"/>
      <c r="M941" s="72"/>
      <c r="N941" s="54">
        <v>932</v>
      </c>
      <c r="O941" s="70">
        <v>63171.167499999981</v>
      </c>
      <c r="P941" s="75">
        <v>14717</v>
      </c>
      <c r="Q941" s="75">
        <v>83387</v>
      </c>
      <c r="R941" s="194">
        <v>341561.16749999998</v>
      </c>
      <c r="S941" s="194">
        <v>6169.35</v>
      </c>
      <c r="T941" s="70">
        <v>1802.8325000000009</v>
      </c>
      <c r="U941" s="80">
        <v>81753.173721494197</v>
      </c>
      <c r="V941" s="73"/>
      <c r="X941" s="30"/>
      <c r="Y941" s="54">
        <v>932</v>
      </c>
      <c r="Z941" s="70">
        <v>86988.10000000002</v>
      </c>
      <c r="AA941" s="75">
        <v>14846</v>
      </c>
      <c r="AB941" s="75">
        <v>8228.9699999999993</v>
      </c>
      <c r="AC941" s="75">
        <v>83204.03</v>
      </c>
      <c r="AD941" s="194">
        <v>366780.4</v>
      </c>
      <c r="AE941" s="194">
        <v>7571.6500000000005</v>
      </c>
      <c r="AF941" s="76">
        <v>0.09</v>
      </c>
      <c r="AG941" s="70">
        <v>5196.1000000000013</v>
      </c>
      <c r="AH941" s="31"/>
    </row>
    <row r="942" spans="3:34" x14ac:dyDescent="0.25">
      <c r="C942" s="72"/>
      <c r="D942" s="54">
        <v>933</v>
      </c>
      <c r="E942" s="70">
        <v>30635.27</v>
      </c>
      <c r="F942" s="75">
        <v>5376</v>
      </c>
      <c r="G942" s="75">
        <v>84552</v>
      </c>
      <c r="H942" s="194">
        <v>314748</v>
      </c>
      <c r="I942" s="194">
        <v>11892.08</v>
      </c>
      <c r="J942" s="75">
        <v>81753.173721494197</v>
      </c>
      <c r="K942" s="73"/>
      <c r="M942" s="72"/>
      <c r="N942" s="54">
        <v>933</v>
      </c>
      <c r="O942" s="70">
        <v>35375.91250000002</v>
      </c>
      <c r="P942" s="75">
        <v>9035</v>
      </c>
      <c r="Q942" s="75">
        <v>80893</v>
      </c>
      <c r="R942" s="194">
        <v>313641.21250000002</v>
      </c>
      <c r="S942" s="194">
        <v>6044.65</v>
      </c>
      <c r="T942" s="70">
        <v>1106.7875000000006</v>
      </c>
      <c r="U942" s="80">
        <v>81753.173721494197</v>
      </c>
      <c r="V942" s="73"/>
      <c r="X942" s="30"/>
      <c r="Y942" s="54">
        <v>933</v>
      </c>
      <c r="Z942" s="70">
        <v>45248.94999999999</v>
      </c>
      <c r="AA942" s="75">
        <v>12952</v>
      </c>
      <c r="AB942" s="75">
        <v>6485.12</v>
      </c>
      <c r="AC942" s="75">
        <v>74578.880000000005</v>
      </c>
      <c r="AD942" s="194">
        <v>324522.8</v>
      </c>
      <c r="AE942" s="194">
        <v>7053.2000000000007</v>
      </c>
      <c r="AF942" s="76">
        <v>0.08</v>
      </c>
      <c r="AG942" s="70">
        <v>4533.2000000000007</v>
      </c>
      <c r="AH942" s="31"/>
    </row>
    <row r="943" spans="3:34" x14ac:dyDescent="0.25">
      <c r="C943" s="72"/>
      <c r="D943" s="54">
        <v>934</v>
      </c>
      <c r="E943" s="70">
        <v>30635.27</v>
      </c>
      <c r="F943" s="75">
        <v>8040</v>
      </c>
      <c r="G943" s="75">
        <v>81888</v>
      </c>
      <c r="H943" s="194">
        <v>314748</v>
      </c>
      <c r="I943" s="194">
        <v>11892.08</v>
      </c>
      <c r="J943" s="75">
        <v>81753.173721494197</v>
      </c>
      <c r="K943" s="73"/>
      <c r="M943" s="72"/>
      <c r="N943" s="54">
        <v>934</v>
      </c>
      <c r="O943" s="70">
        <v>35316.390000000014</v>
      </c>
      <c r="P943" s="75">
        <v>9856</v>
      </c>
      <c r="Q943" s="75">
        <v>80072</v>
      </c>
      <c r="R943" s="194">
        <v>313540.64</v>
      </c>
      <c r="S943" s="194">
        <v>6003.6</v>
      </c>
      <c r="T943" s="70">
        <v>1207.3600000000006</v>
      </c>
      <c r="U943" s="80">
        <v>81753.173721494197</v>
      </c>
      <c r="V943" s="73"/>
      <c r="X943" s="30"/>
      <c r="Y943" s="54">
        <v>934</v>
      </c>
      <c r="Z943" s="70">
        <v>45167.349999999977</v>
      </c>
      <c r="AA943" s="75">
        <v>13224</v>
      </c>
      <c r="AB943" s="75">
        <v>4039.6000000000004</v>
      </c>
      <c r="AC943" s="75">
        <v>76752.399999999994</v>
      </c>
      <c r="AD943" s="194">
        <v>324427.59999999998</v>
      </c>
      <c r="AE943" s="194">
        <v>7039.6</v>
      </c>
      <c r="AF943" s="76">
        <v>0.05</v>
      </c>
      <c r="AG943" s="70">
        <v>4628.4000000000015</v>
      </c>
      <c r="AH943" s="31"/>
    </row>
    <row r="944" spans="3:34" x14ac:dyDescent="0.25">
      <c r="C944" s="72"/>
      <c r="D944" s="54">
        <v>935</v>
      </c>
      <c r="E944" s="70">
        <v>44493.59</v>
      </c>
      <c r="F944" s="75">
        <v>5734</v>
      </c>
      <c r="G944" s="75">
        <v>88282</v>
      </c>
      <c r="H944" s="194">
        <v>329056</v>
      </c>
      <c r="I944" s="194">
        <v>12341.76</v>
      </c>
      <c r="J944" s="75">
        <v>81753.173721494197</v>
      </c>
      <c r="K944" s="73"/>
      <c r="M944" s="72"/>
      <c r="N944" s="54">
        <v>935</v>
      </c>
      <c r="O944" s="70">
        <v>35317.332499999982</v>
      </c>
      <c r="P944" s="75">
        <v>9843</v>
      </c>
      <c r="Q944" s="75">
        <v>80085</v>
      </c>
      <c r="R944" s="194">
        <v>313542.23249999998</v>
      </c>
      <c r="S944" s="194">
        <v>6004.25</v>
      </c>
      <c r="T944" s="70">
        <v>1205.7675000000006</v>
      </c>
      <c r="U944" s="80">
        <v>81753.173721494197</v>
      </c>
      <c r="V944" s="73"/>
      <c r="X944" s="30"/>
      <c r="Y944" s="54">
        <v>935</v>
      </c>
      <c r="Z944" s="70">
        <v>31813.749999999978</v>
      </c>
      <c r="AA944" s="75">
        <v>10724</v>
      </c>
      <c r="AB944" s="75">
        <v>4752.24</v>
      </c>
      <c r="AC944" s="75">
        <v>74451.759999999995</v>
      </c>
      <c r="AD944" s="194">
        <v>310994.59999999998</v>
      </c>
      <c r="AE944" s="194">
        <v>6960.2000000000007</v>
      </c>
      <c r="AF944" s="76">
        <v>0.06</v>
      </c>
      <c r="AG944" s="70">
        <v>3753.400000000001</v>
      </c>
      <c r="AH944" s="31"/>
    </row>
    <row r="945" spans="3:34" x14ac:dyDescent="0.25">
      <c r="C945" s="72"/>
      <c r="D945" s="54">
        <v>936</v>
      </c>
      <c r="E945" s="70">
        <v>30635.27</v>
      </c>
      <c r="F945" s="75">
        <v>6337</v>
      </c>
      <c r="G945" s="75">
        <v>83591</v>
      </c>
      <c r="H945" s="194">
        <v>314748</v>
      </c>
      <c r="I945" s="194">
        <v>11892.08</v>
      </c>
      <c r="J945" s="75">
        <v>81753.173721494197</v>
      </c>
      <c r="K945" s="73"/>
      <c r="M945" s="72"/>
      <c r="N945" s="54">
        <v>936</v>
      </c>
      <c r="O945" s="70">
        <v>35303.122499999976</v>
      </c>
      <c r="P945" s="75">
        <v>10039</v>
      </c>
      <c r="Q945" s="75">
        <v>79889</v>
      </c>
      <c r="R945" s="194">
        <v>313518.22249999997</v>
      </c>
      <c r="S945" s="194">
        <v>5994.4500000000007</v>
      </c>
      <c r="T945" s="70">
        <v>1229.7775000000006</v>
      </c>
      <c r="U945" s="80">
        <v>81753.173721494197</v>
      </c>
      <c r="V945" s="73"/>
      <c r="X945" s="30"/>
      <c r="Y945" s="54">
        <v>936</v>
      </c>
      <c r="Z945" s="70">
        <v>44865.55</v>
      </c>
      <c r="AA945" s="75">
        <v>14230</v>
      </c>
      <c r="AB945" s="75">
        <v>7978.6</v>
      </c>
      <c r="AC945" s="75">
        <v>71807.399999999994</v>
      </c>
      <c r="AD945" s="194">
        <v>324075.5</v>
      </c>
      <c r="AE945" s="194">
        <v>6989.3</v>
      </c>
      <c r="AF945" s="76">
        <v>0.1</v>
      </c>
      <c r="AG945" s="70">
        <v>4980.5000000000009</v>
      </c>
      <c r="AH945" s="31"/>
    </row>
    <row r="946" spans="3:34" x14ac:dyDescent="0.25">
      <c r="C946" s="72"/>
      <c r="D946" s="54">
        <v>937</v>
      </c>
      <c r="E946" s="70">
        <v>58351.91</v>
      </c>
      <c r="F946" s="75">
        <v>9770</v>
      </c>
      <c r="G946" s="75">
        <v>88334</v>
      </c>
      <c r="H946" s="194">
        <v>343364</v>
      </c>
      <c r="I946" s="194">
        <v>12791.44</v>
      </c>
      <c r="J946" s="75">
        <v>81753.173721494197</v>
      </c>
      <c r="K946" s="73"/>
      <c r="M946" s="72"/>
      <c r="N946" s="54">
        <v>937</v>
      </c>
      <c r="O946" s="70">
        <v>35243.309999999976</v>
      </c>
      <c r="P946" s="75">
        <v>10864</v>
      </c>
      <c r="Q946" s="75">
        <v>79064</v>
      </c>
      <c r="R946" s="194">
        <v>313417.15999999997</v>
      </c>
      <c r="S946" s="194">
        <v>5953.2000000000007</v>
      </c>
      <c r="T946" s="70">
        <v>1330.8400000000006</v>
      </c>
      <c r="U946" s="80">
        <v>81753.173721494197</v>
      </c>
      <c r="V946" s="73"/>
      <c r="X946" s="30"/>
      <c r="Y946" s="54">
        <v>937</v>
      </c>
      <c r="Z946" s="70">
        <v>30997.45</v>
      </c>
      <c r="AA946" s="75">
        <v>13445</v>
      </c>
      <c r="AB946" s="75">
        <v>6883.4699999999993</v>
      </c>
      <c r="AC946" s="75">
        <v>69599.53</v>
      </c>
      <c r="AD946" s="194">
        <v>310042.25</v>
      </c>
      <c r="AE946" s="194">
        <v>6824.15</v>
      </c>
      <c r="AF946" s="76">
        <v>0.09</v>
      </c>
      <c r="AG946" s="70">
        <v>4705.7500000000009</v>
      </c>
      <c r="AH946" s="31"/>
    </row>
    <row r="947" spans="3:34" x14ac:dyDescent="0.25">
      <c r="C947" s="72"/>
      <c r="D947" s="54">
        <v>938</v>
      </c>
      <c r="E947" s="70">
        <v>58351.91</v>
      </c>
      <c r="F947" s="75">
        <v>6840</v>
      </c>
      <c r="G947" s="75">
        <v>91264</v>
      </c>
      <c r="H947" s="194">
        <v>343364</v>
      </c>
      <c r="I947" s="194">
        <v>12791.44</v>
      </c>
      <c r="J947" s="75">
        <v>81753.173721494197</v>
      </c>
      <c r="K947" s="73"/>
      <c r="M947" s="72"/>
      <c r="N947" s="54">
        <v>938</v>
      </c>
      <c r="O947" s="70">
        <v>35185.60000000002</v>
      </c>
      <c r="P947" s="75">
        <v>11660</v>
      </c>
      <c r="Q947" s="75">
        <v>78268</v>
      </c>
      <c r="R947" s="194">
        <v>313319.65000000002</v>
      </c>
      <c r="S947" s="194">
        <v>5913.4</v>
      </c>
      <c r="T947" s="70">
        <v>1428.3500000000006</v>
      </c>
      <c r="U947" s="80">
        <v>81753.173721494197</v>
      </c>
      <c r="V947" s="73"/>
      <c r="X947" s="30"/>
      <c r="Y947" s="54">
        <v>938</v>
      </c>
      <c r="Z947" s="70">
        <v>46265.650000000009</v>
      </c>
      <c r="AA947" s="75">
        <v>9563</v>
      </c>
      <c r="AB947" s="75">
        <v>6756.24</v>
      </c>
      <c r="AC947" s="75">
        <v>77696.759999999995</v>
      </c>
      <c r="AD947" s="194">
        <v>325708.95</v>
      </c>
      <c r="AE947" s="194">
        <v>7222.6500000000005</v>
      </c>
      <c r="AF947" s="76">
        <v>0.08</v>
      </c>
      <c r="AG947" s="70">
        <v>3347.0500000000006</v>
      </c>
      <c r="AH947" s="31"/>
    </row>
    <row r="948" spans="3:34" x14ac:dyDescent="0.25">
      <c r="C948" s="72"/>
      <c r="D948" s="54">
        <v>939</v>
      </c>
      <c r="E948" s="70">
        <v>58351.91</v>
      </c>
      <c r="F948" s="75">
        <v>7836</v>
      </c>
      <c r="G948" s="75">
        <v>90268</v>
      </c>
      <c r="H948" s="194">
        <v>343364</v>
      </c>
      <c r="I948" s="194">
        <v>12791.44</v>
      </c>
      <c r="J948" s="75">
        <v>81753.173721494197</v>
      </c>
      <c r="K948" s="73"/>
      <c r="M948" s="72"/>
      <c r="N948" s="54">
        <v>939</v>
      </c>
      <c r="O948" s="70">
        <v>49454.862500000003</v>
      </c>
      <c r="P948" s="75">
        <v>9375</v>
      </c>
      <c r="Q948" s="75">
        <v>84641</v>
      </c>
      <c r="R948" s="194">
        <v>327907.5625</v>
      </c>
      <c r="S948" s="194">
        <v>6232.05</v>
      </c>
      <c r="T948" s="70">
        <v>1148.4375000000005</v>
      </c>
      <c r="U948" s="80">
        <v>81753.173721494197</v>
      </c>
      <c r="V948" s="73"/>
      <c r="X948" s="30"/>
      <c r="Y948" s="54">
        <v>939</v>
      </c>
      <c r="Z948" s="70">
        <v>58824.549999999988</v>
      </c>
      <c r="AA948" s="75">
        <v>14712</v>
      </c>
      <c r="AB948" s="75">
        <v>5003.5199999999995</v>
      </c>
      <c r="AC948" s="75">
        <v>78388.479999999996</v>
      </c>
      <c r="AD948" s="194">
        <v>338214.8</v>
      </c>
      <c r="AE948" s="194">
        <v>7169.6</v>
      </c>
      <c r="AF948" s="76">
        <v>0.06</v>
      </c>
      <c r="AG948" s="70">
        <v>5149.2000000000016</v>
      </c>
      <c r="AH948" s="31"/>
    </row>
    <row r="949" spans="3:34" x14ac:dyDescent="0.25">
      <c r="C949" s="72"/>
      <c r="D949" s="54">
        <v>940</v>
      </c>
      <c r="E949" s="70">
        <v>44493.59</v>
      </c>
      <c r="F949" s="75">
        <v>5622</v>
      </c>
      <c r="G949" s="75">
        <v>88394</v>
      </c>
      <c r="H949" s="194">
        <v>329056</v>
      </c>
      <c r="I949" s="194">
        <v>12341.76</v>
      </c>
      <c r="J949" s="75">
        <v>81753.173721494197</v>
      </c>
      <c r="K949" s="73"/>
      <c r="M949" s="72"/>
      <c r="N949" s="54">
        <v>940</v>
      </c>
      <c r="O949" s="70">
        <v>49388.669999999969</v>
      </c>
      <c r="P949" s="75">
        <v>10288</v>
      </c>
      <c r="Q949" s="75">
        <v>83728</v>
      </c>
      <c r="R949" s="194">
        <v>327795.71999999997</v>
      </c>
      <c r="S949" s="194">
        <v>6186.4000000000005</v>
      </c>
      <c r="T949" s="70">
        <v>1260.2800000000007</v>
      </c>
      <c r="U949" s="80">
        <v>81753.173721494197</v>
      </c>
      <c r="V949" s="73"/>
      <c r="X949" s="30"/>
      <c r="Y949" s="54">
        <v>940</v>
      </c>
      <c r="Z949" s="70">
        <v>46033.44999999999</v>
      </c>
      <c r="AA949" s="75">
        <v>10337</v>
      </c>
      <c r="AB949" s="75">
        <v>5857.5300000000007</v>
      </c>
      <c r="AC949" s="75">
        <v>77821.47</v>
      </c>
      <c r="AD949" s="194">
        <v>325438.05</v>
      </c>
      <c r="AE949" s="194">
        <v>7183.95</v>
      </c>
      <c r="AF949" s="76">
        <v>7.0000000000000007E-2</v>
      </c>
      <c r="AG949" s="70">
        <v>3617.9500000000007</v>
      </c>
      <c r="AH949" s="31"/>
    </row>
    <row r="950" spans="3:34" x14ac:dyDescent="0.25">
      <c r="C950" s="72"/>
      <c r="D950" s="54">
        <v>941</v>
      </c>
      <c r="E950" s="70">
        <v>30635.27</v>
      </c>
      <c r="F950" s="75">
        <v>5437</v>
      </c>
      <c r="G950" s="75">
        <v>84491</v>
      </c>
      <c r="H950" s="194">
        <v>314748</v>
      </c>
      <c r="I950" s="194">
        <v>11892.08</v>
      </c>
      <c r="J950" s="75">
        <v>81753.173721494197</v>
      </c>
      <c r="K950" s="73"/>
      <c r="M950" s="72"/>
      <c r="N950" s="54">
        <v>941</v>
      </c>
      <c r="O950" s="70">
        <v>63531.202499999999</v>
      </c>
      <c r="P950" s="75">
        <v>9751</v>
      </c>
      <c r="Q950" s="75">
        <v>88353</v>
      </c>
      <c r="R950" s="194">
        <v>342169.5025</v>
      </c>
      <c r="S950" s="194">
        <v>6417.6500000000005</v>
      </c>
      <c r="T950" s="70">
        <v>1194.4975000000006</v>
      </c>
      <c r="U950" s="80">
        <v>81753.173721494197</v>
      </c>
      <c r="V950" s="73"/>
      <c r="X950" s="30"/>
      <c r="Y950" s="54">
        <v>941</v>
      </c>
      <c r="Z950" s="70">
        <v>45165.55</v>
      </c>
      <c r="AA950" s="75">
        <v>13230</v>
      </c>
      <c r="AB950" s="75">
        <v>8078.6</v>
      </c>
      <c r="AC950" s="75">
        <v>72707.399999999994</v>
      </c>
      <c r="AD950" s="194">
        <v>324425.5</v>
      </c>
      <c r="AE950" s="194">
        <v>7039.3</v>
      </c>
      <c r="AF950" s="76">
        <v>0.1</v>
      </c>
      <c r="AG950" s="70">
        <v>4630.5000000000009</v>
      </c>
      <c r="AH950" s="31"/>
    </row>
    <row r="951" spans="3:34" x14ac:dyDescent="0.25">
      <c r="C951" s="72"/>
      <c r="D951" s="54">
        <v>942</v>
      </c>
      <c r="E951" s="70">
        <v>30635.27</v>
      </c>
      <c r="F951" s="75">
        <v>6156</v>
      </c>
      <c r="G951" s="75">
        <v>83772</v>
      </c>
      <c r="H951" s="194">
        <v>314748</v>
      </c>
      <c r="I951" s="194">
        <v>11892.08</v>
      </c>
      <c r="J951" s="75">
        <v>81753.173721494197</v>
      </c>
      <c r="K951" s="73"/>
      <c r="M951" s="72"/>
      <c r="N951" s="54">
        <v>942</v>
      </c>
      <c r="O951" s="70">
        <v>49381.27499999998</v>
      </c>
      <c r="P951" s="75">
        <v>10390</v>
      </c>
      <c r="Q951" s="75">
        <v>83626</v>
      </c>
      <c r="R951" s="194">
        <v>327783.22499999998</v>
      </c>
      <c r="S951" s="194">
        <v>6181.3</v>
      </c>
      <c r="T951" s="70">
        <v>1272.7750000000005</v>
      </c>
      <c r="U951" s="80">
        <v>81753.173721494197</v>
      </c>
      <c r="V951" s="73"/>
      <c r="X951" s="30"/>
      <c r="Y951" s="54">
        <v>942</v>
      </c>
      <c r="Z951" s="70">
        <v>46339.750000000022</v>
      </c>
      <c r="AA951" s="75">
        <v>9316</v>
      </c>
      <c r="AB951" s="75">
        <v>6776</v>
      </c>
      <c r="AC951" s="75">
        <v>77924</v>
      </c>
      <c r="AD951" s="194">
        <v>325795.40000000002</v>
      </c>
      <c r="AE951" s="194">
        <v>7235</v>
      </c>
      <c r="AF951" s="76">
        <v>0.08</v>
      </c>
      <c r="AG951" s="70">
        <v>3260.6000000000008</v>
      </c>
      <c r="AH951" s="31"/>
    </row>
    <row r="952" spans="3:34" x14ac:dyDescent="0.25">
      <c r="C952" s="72"/>
      <c r="D952" s="54">
        <v>943</v>
      </c>
      <c r="E952" s="70">
        <v>58351.91</v>
      </c>
      <c r="F952" s="75">
        <v>9766</v>
      </c>
      <c r="G952" s="75">
        <v>88338</v>
      </c>
      <c r="H952" s="194">
        <v>343364</v>
      </c>
      <c r="I952" s="194">
        <v>12791.44</v>
      </c>
      <c r="J952" s="75">
        <v>81753.173721494197</v>
      </c>
      <c r="K952" s="73"/>
      <c r="M952" s="72"/>
      <c r="N952" s="54">
        <v>943</v>
      </c>
      <c r="O952" s="70">
        <v>49450.367500000029</v>
      </c>
      <c r="P952" s="75">
        <v>9437</v>
      </c>
      <c r="Q952" s="75">
        <v>84579</v>
      </c>
      <c r="R952" s="194">
        <v>327899.96750000003</v>
      </c>
      <c r="S952" s="194">
        <v>6228.95</v>
      </c>
      <c r="T952" s="70">
        <v>1156.0325000000005</v>
      </c>
      <c r="U952" s="80">
        <v>81753.173721494197</v>
      </c>
      <c r="V952" s="73"/>
      <c r="X952" s="30"/>
      <c r="Y952" s="54">
        <v>943</v>
      </c>
      <c r="Z952" s="70">
        <v>31283.349999999988</v>
      </c>
      <c r="AA952" s="75">
        <v>12492</v>
      </c>
      <c r="AB952" s="75">
        <v>6969.24</v>
      </c>
      <c r="AC952" s="75">
        <v>70466.759999999995</v>
      </c>
      <c r="AD952" s="194">
        <v>310375.8</v>
      </c>
      <c r="AE952" s="194">
        <v>6871.8</v>
      </c>
      <c r="AF952" s="76">
        <v>0.09</v>
      </c>
      <c r="AG952" s="70">
        <v>4372.2000000000007</v>
      </c>
      <c r="AH952" s="31"/>
    </row>
    <row r="953" spans="3:34" x14ac:dyDescent="0.25">
      <c r="C953" s="72"/>
      <c r="D953" s="54">
        <v>944</v>
      </c>
      <c r="E953" s="70">
        <v>30635.27</v>
      </c>
      <c r="F953" s="75">
        <v>6388</v>
      </c>
      <c r="G953" s="75">
        <v>83540</v>
      </c>
      <c r="H953" s="194">
        <v>314748</v>
      </c>
      <c r="I953" s="194">
        <v>11892.08</v>
      </c>
      <c r="J953" s="75">
        <v>81753.173721494197</v>
      </c>
      <c r="K953" s="73"/>
      <c r="M953" s="72"/>
      <c r="N953" s="54">
        <v>944</v>
      </c>
      <c r="O953" s="70">
        <v>63379.025000000001</v>
      </c>
      <c r="P953" s="75">
        <v>11850</v>
      </c>
      <c r="Q953" s="75">
        <v>86254</v>
      </c>
      <c r="R953" s="194">
        <v>341912.375</v>
      </c>
      <c r="S953" s="194">
        <v>6312.7</v>
      </c>
      <c r="T953" s="70">
        <v>1451.6250000000007</v>
      </c>
      <c r="U953" s="80">
        <v>81753.173721494197</v>
      </c>
      <c r="V953" s="73"/>
      <c r="X953" s="30"/>
      <c r="Y953" s="54">
        <v>944</v>
      </c>
      <c r="Z953" s="70">
        <v>31458.849999999988</v>
      </c>
      <c r="AA953" s="75">
        <v>11907</v>
      </c>
      <c r="AB953" s="75">
        <v>6241.68</v>
      </c>
      <c r="AC953" s="75">
        <v>71779.320000000007</v>
      </c>
      <c r="AD953" s="194">
        <v>310580.55</v>
      </c>
      <c r="AE953" s="194">
        <v>6901.05</v>
      </c>
      <c r="AF953" s="76">
        <v>0.08</v>
      </c>
      <c r="AG953" s="70">
        <v>4167.4500000000007</v>
      </c>
      <c r="AH953" s="31"/>
    </row>
    <row r="954" spans="3:34" x14ac:dyDescent="0.25">
      <c r="C954" s="72"/>
      <c r="D954" s="54">
        <v>945</v>
      </c>
      <c r="E954" s="70">
        <v>30635.27</v>
      </c>
      <c r="F954" s="75">
        <v>5378</v>
      </c>
      <c r="G954" s="75">
        <v>84550</v>
      </c>
      <c r="H954" s="194">
        <v>314748</v>
      </c>
      <c r="I954" s="194">
        <v>11892.08</v>
      </c>
      <c r="J954" s="75">
        <v>81753.173721494197</v>
      </c>
      <c r="K954" s="73"/>
      <c r="M954" s="72"/>
      <c r="N954" s="54">
        <v>945</v>
      </c>
      <c r="O954" s="70">
        <v>49381.492500000029</v>
      </c>
      <c r="P954" s="75">
        <v>10387</v>
      </c>
      <c r="Q954" s="75">
        <v>83629</v>
      </c>
      <c r="R954" s="194">
        <v>327783.59250000003</v>
      </c>
      <c r="S954" s="194">
        <v>6181.45</v>
      </c>
      <c r="T954" s="70">
        <v>1272.4075000000005</v>
      </c>
      <c r="U954" s="80">
        <v>81753.173721494197</v>
      </c>
      <c r="V954" s="73"/>
      <c r="X954" s="30"/>
      <c r="Y954" s="54">
        <v>945</v>
      </c>
      <c r="Z954" s="70">
        <v>46055.05</v>
      </c>
      <c r="AA954" s="75">
        <v>10265</v>
      </c>
      <c r="AB954" s="75">
        <v>5862.5700000000006</v>
      </c>
      <c r="AC954" s="75">
        <v>77888.429999999993</v>
      </c>
      <c r="AD954" s="194">
        <v>325463.25</v>
      </c>
      <c r="AE954" s="194">
        <v>7187.55</v>
      </c>
      <c r="AF954" s="76">
        <v>7.0000000000000007E-2</v>
      </c>
      <c r="AG954" s="70">
        <v>3592.7500000000009</v>
      </c>
      <c r="AH954" s="31"/>
    </row>
    <row r="955" spans="3:34" x14ac:dyDescent="0.25">
      <c r="C955" s="72"/>
      <c r="D955" s="54">
        <v>946</v>
      </c>
      <c r="E955" s="70">
        <v>44493.59</v>
      </c>
      <c r="F955" s="75">
        <v>9357</v>
      </c>
      <c r="G955" s="75">
        <v>84659</v>
      </c>
      <c r="H955" s="194">
        <v>329056</v>
      </c>
      <c r="I955" s="194">
        <v>12341.76</v>
      </c>
      <c r="J955" s="75">
        <v>81753.173721494197</v>
      </c>
      <c r="K955" s="73"/>
      <c r="M955" s="72"/>
      <c r="N955" s="54">
        <v>946</v>
      </c>
      <c r="O955" s="70">
        <v>91518.032499999987</v>
      </c>
      <c r="P955" s="75">
        <v>12743</v>
      </c>
      <c r="Q955" s="75">
        <v>93536</v>
      </c>
      <c r="R955" s="194">
        <v>370415.48249999998</v>
      </c>
      <c r="S955" s="194">
        <v>6676.8</v>
      </c>
      <c r="T955" s="70">
        <v>1561.0175000000006</v>
      </c>
      <c r="U955" s="80">
        <v>81753.173721494197</v>
      </c>
      <c r="V955" s="73"/>
      <c r="X955" s="30"/>
      <c r="Y955" s="54">
        <v>946</v>
      </c>
      <c r="Z955" s="70">
        <v>46295.349999999977</v>
      </c>
      <c r="AA955" s="75">
        <v>9464</v>
      </c>
      <c r="AB955" s="75">
        <v>5918.64</v>
      </c>
      <c r="AC955" s="75">
        <v>78633.36</v>
      </c>
      <c r="AD955" s="194">
        <v>325743.59999999998</v>
      </c>
      <c r="AE955" s="194">
        <v>7227.6</v>
      </c>
      <c r="AF955" s="76">
        <v>7.0000000000000007E-2</v>
      </c>
      <c r="AG955" s="70">
        <v>3312.400000000001</v>
      </c>
      <c r="AH955" s="31"/>
    </row>
    <row r="956" spans="3:34" x14ac:dyDescent="0.25">
      <c r="C956" s="72"/>
      <c r="D956" s="54">
        <v>947</v>
      </c>
      <c r="E956" s="70">
        <v>30635.27</v>
      </c>
      <c r="F956" s="75">
        <v>4524</v>
      </c>
      <c r="G956" s="75">
        <v>85404</v>
      </c>
      <c r="H956" s="194">
        <v>314748</v>
      </c>
      <c r="I956" s="194">
        <v>11892.08</v>
      </c>
      <c r="J956" s="75">
        <v>81753.173721494197</v>
      </c>
      <c r="K956" s="73"/>
      <c r="M956" s="72"/>
      <c r="N956" s="54">
        <v>947</v>
      </c>
      <c r="O956" s="70">
        <v>35371.489999999991</v>
      </c>
      <c r="P956" s="75">
        <v>9096</v>
      </c>
      <c r="Q956" s="75">
        <v>80832</v>
      </c>
      <c r="R956" s="194">
        <v>313633.74</v>
      </c>
      <c r="S956" s="194">
        <v>6041.6</v>
      </c>
      <c r="T956" s="70">
        <v>1114.2600000000004</v>
      </c>
      <c r="U956" s="80">
        <v>81753.173721494197</v>
      </c>
      <c r="V956" s="73"/>
      <c r="X956" s="30"/>
      <c r="Y956" s="54">
        <v>947</v>
      </c>
      <c r="Z956" s="70">
        <v>45186.250000000022</v>
      </c>
      <c r="AA956" s="75">
        <v>13161</v>
      </c>
      <c r="AB956" s="75">
        <v>4851.3</v>
      </c>
      <c r="AC956" s="75">
        <v>76003.7</v>
      </c>
      <c r="AD956" s="194">
        <v>324449.65000000002</v>
      </c>
      <c r="AE956" s="194">
        <v>7042.75</v>
      </c>
      <c r="AF956" s="76">
        <v>0.06</v>
      </c>
      <c r="AG956" s="70">
        <v>4606.3500000000013</v>
      </c>
      <c r="AH956" s="31"/>
    </row>
    <row r="957" spans="3:34" x14ac:dyDescent="0.25">
      <c r="C957" s="72"/>
      <c r="D957" s="54">
        <v>948</v>
      </c>
      <c r="E957" s="70">
        <v>30635.27</v>
      </c>
      <c r="F957" s="75">
        <v>4530</v>
      </c>
      <c r="G957" s="75">
        <v>85398</v>
      </c>
      <c r="H957" s="194">
        <v>314748</v>
      </c>
      <c r="I957" s="194">
        <v>11892.08</v>
      </c>
      <c r="J957" s="75">
        <v>81753.173721494197</v>
      </c>
      <c r="K957" s="73"/>
      <c r="M957" s="72"/>
      <c r="N957" s="54">
        <v>948</v>
      </c>
      <c r="O957" s="70">
        <v>63452.902500000011</v>
      </c>
      <c r="P957" s="75">
        <v>10831</v>
      </c>
      <c r="Q957" s="75">
        <v>87273</v>
      </c>
      <c r="R957" s="194">
        <v>342037.20250000001</v>
      </c>
      <c r="S957" s="194">
        <v>6363.6500000000005</v>
      </c>
      <c r="T957" s="70">
        <v>1326.7975000000006</v>
      </c>
      <c r="U957" s="80">
        <v>81753.173721494197</v>
      </c>
      <c r="V957" s="73"/>
      <c r="X957" s="30"/>
      <c r="Y957" s="54">
        <v>948</v>
      </c>
      <c r="Z957" s="70">
        <v>59381.35000000002</v>
      </c>
      <c r="AA957" s="75">
        <v>12856</v>
      </c>
      <c r="AB957" s="75">
        <v>8524.8000000000011</v>
      </c>
      <c r="AC957" s="75">
        <v>76723.199999999997</v>
      </c>
      <c r="AD957" s="194">
        <v>338864.4</v>
      </c>
      <c r="AE957" s="194">
        <v>7262.4000000000005</v>
      </c>
      <c r="AF957" s="76">
        <v>0.1</v>
      </c>
      <c r="AG957" s="70">
        <v>4499.6000000000013</v>
      </c>
      <c r="AH957" s="31"/>
    </row>
    <row r="958" spans="3:34" x14ac:dyDescent="0.25">
      <c r="C958" s="72"/>
      <c r="D958" s="54">
        <v>949</v>
      </c>
      <c r="E958" s="70">
        <v>44493.59</v>
      </c>
      <c r="F958" s="75">
        <v>9202</v>
      </c>
      <c r="G958" s="75">
        <v>84814</v>
      </c>
      <c r="H958" s="194">
        <v>329056</v>
      </c>
      <c r="I958" s="194">
        <v>12341.76</v>
      </c>
      <c r="J958" s="75">
        <v>81753.173721494197</v>
      </c>
      <c r="K958" s="73"/>
      <c r="M958" s="72"/>
      <c r="N958" s="54">
        <v>949</v>
      </c>
      <c r="O958" s="70">
        <v>63237.794999999998</v>
      </c>
      <c r="P958" s="75">
        <v>13798</v>
      </c>
      <c r="Q958" s="75">
        <v>84306</v>
      </c>
      <c r="R958" s="194">
        <v>341673.745</v>
      </c>
      <c r="S958" s="194">
        <v>6215.3</v>
      </c>
      <c r="T958" s="70">
        <v>1690.2550000000008</v>
      </c>
      <c r="U958" s="80">
        <v>81753.173721494197</v>
      </c>
      <c r="V958" s="73"/>
      <c r="X958" s="30"/>
      <c r="Y958" s="54">
        <v>949</v>
      </c>
      <c r="Z958" s="70">
        <v>58846.449999999975</v>
      </c>
      <c r="AA958" s="75">
        <v>14639</v>
      </c>
      <c r="AB958" s="75">
        <v>4173.25</v>
      </c>
      <c r="AC958" s="75">
        <v>79291.75</v>
      </c>
      <c r="AD958" s="194">
        <v>338240.35</v>
      </c>
      <c r="AE958" s="194">
        <v>7173.25</v>
      </c>
      <c r="AF958" s="76">
        <v>0.05</v>
      </c>
      <c r="AG958" s="70">
        <v>5123.6500000000015</v>
      </c>
      <c r="AH958" s="31"/>
    </row>
    <row r="959" spans="3:34" x14ac:dyDescent="0.25">
      <c r="C959" s="72"/>
      <c r="D959" s="54">
        <v>950</v>
      </c>
      <c r="E959" s="70">
        <v>30635.27</v>
      </c>
      <c r="F959" s="75">
        <v>5447</v>
      </c>
      <c r="G959" s="75">
        <v>84481</v>
      </c>
      <c r="H959" s="194">
        <v>314748</v>
      </c>
      <c r="I959" s="194">
        <v>11892.08</v>
      </c>
      <c r="J959" s="75">
        <v>81753.173721494197</v>
      </c>
      <c r="K959" s="73"/>
      <c r="M959" s="72"/>
      <c r="N959" s="54">
        <v>950</v>
      </c>
      <c r="O959" s="70">
        <v>91660.205000000016</v>
      </c>
      <c r="P959" s="75">
        <v>10782</v>
      </c>
      <c r="Q959" s="75">
        <v>95497</v>
      </c>
      <c r="R959" s="194">
        <v>370655.70500000002</v>
      </c>
      <c r="S959" s="194">
        <v>6774.85</v>
      </c>
      <c r="T959" s="70">
        <v>1320.7950000000005</v>
      </c>
      <c r="U959" s="80">
        <v>81753.173721494197</v>
      </c>
      <c r="V959" s="73"/>
      <c r="X959" s="30"/>
      <c r="Y959" s="54">
        <v>950</v>
      </c>
      <c r="Z959" s="70">
        <v>45724.150000000009</v>
      </c>
      <c r="AA959" s="75">
        <v>11368</v>
      </c>
      <c r="AB959" s="75">
        <v>4958.88</v>
      </c>
      <c r="AC959" s="75">
        <v>77689.119999999995</v>
      </c>
      <c r="AD959" s="194">
        <v>325077.2</v>
      </c>
      <c r="AE959" s="194">
        <v>7132.4000000000005</v>
      </c>
      <c r="AF959" s="76">
        <v>0.06</v>
      </c>
      <c r="AG959" s="70">
        <v>3978.8000000000011</v>
      </c>
      <c r="AH959" s="31"/>
    </row>
    <row r="960" spans="3:34" x14ac:dyDescent="0.25">
      <c r="C960" s="72"/>
      <c r="D960" s="54">
        <v>951</v>
      </c>
      <c r="E960" s="70">
        <v>58351.91</v>
      </c>
      <c r="F960" s="75">
        <v>6887</v>
      </c>
      <c r="G960" s="75">
        <v>91217</v>
      </c>
      <c r="H960" s="194">
        <v>343364</v>
      </c>
      <c r="I960" s="194">
        <v>12791.44</v>
      </c>
      <c r="J960" s="75">
        <v>81753.173721494197</v>
      </c>
      <c r="K960" s="73"/>
      <c r="M960" s="72"/>
      <c r="N960" s="54">
        <v>951</v>
      </c>
      <c r="O960" s="70">
        <v>63166.455000000016</v>
      </c>
      <c r="P960" s="75">
        <v>14782</v>
      </c>
      <c r="Q960" s="75">
        <v>83322</v>
      </c>
      <c r="R960" s="194">
        <v>341553.20500000002</v>
      </c>
      <c r="S960" s="194">
        <v>6166.1</v>
      </c>
      <c r="T960" s="70">
        <v>1810.7950000000008</v>
      </c>
      <c r="U960" s="80">
        <v>81753.173721494197</v>
      </c>
      <c r="V960" s="73"/>
      <c r="X960" s="30"/>
      <c r="Y960" s="54">
        <v>951</v>
      </c>
      <c r="Z960" s="70">
        <v>31275.849999999988</v>
      </c>
      <c r="AA960" s="75">
        <v>12517</v>
      </c>
      <c r="AB960" s="75">
        <v>4644.66</v>
      </c>
      <c r="AC960" s="75">
        <v>72766.34</v>
      </c>
      <c r="AD960" s="194">
        <v>310367.05</v>
      </c>
      <c r="AE960" s="194">
        <v>6870.55</v>
      </c>
      <c r="AF960" s="76">
        <v>0.06</v>
      </c>
      <c r="AG960" s="70">
        <v>4380.9500000000007</v>
      </c>
      <c r="AH960" s="31"/>
    </row>
    <row r="961" spans="3:34" x14ac:dyDescent="0.25">
      <c r="C961" s="72"/>
      <c r="D961" s="54">
        <v>952</v>
      </c>
      <c r="E961" s="70">
        <v>58351.91</v>
      </c>
      <c r="F961" s="75">
        <v>6825</v>
      </c>
      <c r="G961" s="75">
        <v>91279</v>
      </c>
      <c r="H961" s="194">
        <v>343364</v>
      </c>
      <c r="I961" s="194">
        <v>12791.44</v>
      </c>
      <c r="J961" s="75">
        <v>81753.173721494197</v>
      </c>
      <c r="K961" s="73"/>
      <c r="M961" s="72"/>
      <c r="N961" s="54">
        <v>952</v>
      </c>
      <c r="O961" s="70">
        <v>63165.51249999999</v>
      </c>
      <c r="P961" s="75">
        <v>14795</v>
      </c>
      <c r="Q961" s="75">
        <v>83309</v>
      </c>
      <c r="R961" s="194">
        <v>341551.61249999999</v>
      </c>
      <c r="S961" s="194">
        <v>6165.45</v>
      </c>
      <c r="T961" s="70">
        <v>1812.3875000000007</v>
      </c>
      <c r="U961" s="80">
        <v>81753.173721494197</v>
      </c>
      <c r="V961" s="73"/>
      <c r="X961" s="30"/>
      <c r="Y961" s="54">
        <v>952</v>
      </c>
      <c r="Z961" s="70">
        <v>60299.35000000002</v>
      </c>
      <c r="AA961" s="75">
        <v>9796</v>
      </c>
      <c r="AB961" s="75">
        <v>5298.48</v>
      </c>
      <c r="AC961" s="75">
        <v>83009.52</v>
      </c>
      <c r="AD961" s="194">
        <v>339935.4</v>
      </c>
      <c r="AE961" s="194">
        <v>7415.4000000000005</v>
      </c>
      <c r="AF961" s="76">
        <v>0.06</v>
      </c>
      <c r="AG961" s="70">
        <v>3428.6000000000008</v>
      </c>
      <c r="AH961" s="31"/>
    </row>
    <row r="962" spans="3:34" x14ac:dyDescent="0.25">
      <c r="C962" s="72"/>
      <c r="D962" s="54">
        <v>953</v>
      </c>
      <c r="E962" s="70">
        <v>30635.27</v>
      </c>
      <c r="F962" s="75">
        <v>9143</v>
      </c>
      <c r="G962" s="75">
        <v>80785</v>
      </c>
      <c r="H962" s="194">
        <v>314748</v>
      </c>
      <c r="I962" s="194">
        <v>11892.08</v>
      </c>
      <c r="J962" s="75">
        <v>81753.173721494197</v>
      </c>
      <c r="K962" s="73"/>
      <c r="M962" s="72"/>
      <c r="N962" s="54">
        <v>953</v>
      </c>
      <c r="O962" s="70">
        <v>35191.472500000011</v>
      </c>
      <c r="P962" s="75">
        <v>11579</v>
      </c>
      <c r="Q962" s="75">
        <v>78349</v>
      </c>
      <c r="R962" s="194">
        <v>313329.57250000001</v>
      </c>
      <c r="S962" s="194">
        <v>5917.4500000000007</v>
      </c>
      <c r="T962" s="70">
        <v>1418.4275000000007</v>
      </c>
      <c r="U962" s="80">
        <v>81753.173721494197</v>
      </c>
      <c r="V962" s="73"/>
      <c r="X962" s="30"/>
      <c r="Y962" s="54">
        <v>953</v>
      </c>
      <c r="Z962" s="70">
        <v>59708.65</v>
      </c>
      <c r="AA962" s="75">
        <v>11765</v>
      </c>
      <c r="AB962" s="75">
        <v>7770.5099999999993</v>
      </c>
      <c r="AC962" s="75">
        <v>78568.490000000005</v>
      </c>
      <c r="AD962" s="194">
        <v>339246.25</v>
      </c>
      <c r="AE962" s="194">
        <v>7316.95</v>
      </c>
      <c r="AF962" s="76">
        <v>0.09</v>
      </c>
      <c r="AG962" s="70">
        <v>4117.7500000000009</v>
      </c>
      <c r="AH962" s="31"/>
    </row>
    <row r="963" spans="3:34" x14ac:dyDescent="0.25">
      <c r="C963" s="72"/>
      <c r="D963" s="54">
        <v>954</v>
      </c>
      <c r="E963" s="70">
        <v>30635.27</v>
      </c>
      <c r="F963" s="75">
        <v>5399</v>
      </c>
      <c r="G963" s="75">
        <v>84529</v>
      </c>
      <c r="H963" s="194">
        <v>314748</v>
      </c>
      <c r="I963" s="194">
        <v>11892.08</v>
      </c>
      <c r="J963" s="75">
        <v>81753.173721494197</v>
      </c>
      <c r="K963" s="73"/>
      <c r="M963" s="72"/>
      <c r="N963" s="54">
        <v>954</v>
      </c>
      <c r="O963" s="70">
        <v>63245.26249999999</v>
      </c>
      <c r="P963" s="75">
        <v>13695</v>
      </c>
      <c r="Q963" s="75">
        <v>84409</v>
      </c>
      <c r="R963" s="194">
        <v>341686.36249999999</v>
      </c>
      <c r="S963" s="194">
        <v>6220.45</v>
      </c>
      <c r="T963" s="70">
        <v>1677.6375000000007</v>
      </c>
      <c r="U963" s="80">
        <v>81753.173721494197</v>
      </c>
      <c r="V963" s="73"/>
      <c r="X963" s="30"/>
      <c r="Y963" s="54">
        <v>954</v>
      </c>
      <c r="Z963" s="70">
        <v>45722.94999999999</v>
      </c>
      <c r="AA963" s="75">
        <v>11372</v>
      </c>
      <c r="AB963" s="75">
        <v>7437.96</v>
      </c>
      <c r="AC963" s="75">
        <v>75206.039999999994</v>
      </c>
      <c r="AD963" s="194">
        <v>325075.8</v>
      </c>
      <c r="AE963" s="194">
        <v>7132.2</v>
      </c>
      <c r="AF963" s="76">
        <v>0.09</v>
      </c>
      <c r="AG963" s="70">
        <v>3980.2000000000012</v>
      </c>
      <c r="AH963" s="31"/>
    </row>
    <row r="964" spans="3:34" x14ac:dyDescent="0.25">
      <c r="C964" s="72"/>
      <c r="D964" s="54">
        <v>955</v>
      </c>
      <c r="E964" s="70">
        <v>44493.59</v>
      </c>
      <c r="F964" s="75">
        <v>9401</v>
      </c>
      <c r="G964" s="75">
        <v>84615</v>
      </c>
      <c r="H964" s="194">
        <v>329056</v>
      </c>
      <c r="I964" s="194">
        <v>12341.76</v>
      </c>
      <c r="J964" s="75">
        <v>81753.173721494197</v>
      </c>
      <c r="K964" s="73"/>
      <c r="M964" s="72"/>
      <c r="N964" s="54">
        <v>955</v>
      </c>
      <c r="O964" s="70">
        <v>49306.817499999983</v>
      </c>
      <c r="P964" s="75">
        <v>11417</v>
      </c>
      <c r="Q964" s="75">
        <v>82599</v>
      </c>
      <c r="R964" s="194">
        <v>327657.41749999998</v>
      </c>
      <c r="S964" s="194">
        <v>6129.95</v>
      </c>
      <c r="T964" s="70">
        <v>1398.5825000000007</v>
      </c>
      <c r="U964" s="80">
        <v>81753.173721494197</v>
      </c>
      <c r="V964" s="73"/>
      <c r="X964" s="30"/>
      <c r="Y964" s="54">
        <v>955</v>
      </c>
      <c r="Z964" s="70">
        <v>58771.15</v>
      </c>
      <c r="AA964" s="75">
        <v>14890</v>
      </c>
      <c r="AB964" s="75">
        <v>5824.9800000000005</v>
      </c>
      <c r="AC964" s="75">
        <v>77389.02</v>
      </c>
      <c r="AD964" s="194">
        <v>338152.5</v>
      </c>
      <c r="AE964" s="194">
        <v>7160.7</v>
      </c>
      <c r="AF964" s="76">
        <v>7.0000000000000007E-2</v>
      </c>
      <c r="AG964" s="70">
        <v>5211.5000000000009</v>
      </c>
      <c r="AH964" s="31"/>
    </row>
    <row r="965" spans="3:34" x14ac:dyDescent="0.25">
      <c r="C965" s="72"/>
      <c r="D965" s="54">
        <v>956</v>
      </c>
      <c r="E965" s="70">
        <v>58351.91</v>
      </c>
      <c r="F965" s="75">
        <v>8696</v>
      </c>
      <c r="G965" s="75">
        <v>89408</v>
      </c>
      <c r="H965" s="194">
        <v>343364</v>
      </c>
      <c r="I965" s="194">
        <v>12791.44</v>
      </c>
      <c r="J965" s="75">
        <v>81753.173721494197</v>
      </c>
      <c r="K965" s="73"/>
      <c r="M965" s="72"/>
      <c r="N965" s="54">
        <v>956</v>
      </c>
      <c r="O965" s="70">
        <v>63541.207499999975</v>
      </c>
      <c r="P965" s="75">
        <v>9613</v>
      </c>
      <c r="Q965" s="75">
        <v>88491</v>
      </c>
      <c r="R965" s="194">
        <v>342186.40749999997</v>
      </c>
      <c r="S965" s="194">
        <v>6424.55</v>
      </c>
      <c r="T965" s="70">
        <v>1177.5925000000004</v>
      </c>
      <c r="U965" s="80">
        <v>81753.173721494197</v>
      </c>
      <c r="V965" s="73"/>
      <c r="X965" s="30"/>
      <c r="Y965" s="54">
        <v>956</v>
      </c>
      <c r="Z965" s="70">
        <v>32105.95</v>
      </c>
      <c r="AA965" s="75">
        <v>9750</v>
      </c>
      <c r="AB965" s="75">
        <v>6414.24</v>
      </c>
      <c r="AC965" s="75">
        <v>73763.759999999995</v>
      </c>
      <c r="AD965" s="194">
        <v>311335.5</v>
      </c>
      <c r="AE965" s="194">
        <v>7008.9</v>
      </c>
      <c r="AF965" s="76">
        <v>0.08</v>
      </c>
      <c r="AG965" s="70">
        <v>3412.5000000000009</v>
      </c>
      <c r="AH965" s="31"/>
    </row>
    <row r="966" spans="3:34" x14ac:dyDescent="0.25">
      <c r="C966" s="72"/>
      <c r="D966" s="54">
        <v>957</v>
      </c>
      <c r="E966" s="70">
        <v>86065.16</v>
      </c>
      <c r="F966" s="75">
        <v>8497</v>
      </c>
      <c r="G966" s="75">
        <v>97782</v>
      </c>
      <c r="H966" s="194">
        <v>371976.5</v>
      </c>
      <c r="I966" s="194">
        <v>13690.69</v>
      </c>
      <c r="J966" s="75">
        <v>81753.173721494197</v>
      </c>
      <c r="K966" s="73"/>
      <c r="M966" s="72"/>
      <c r="N966" s="54">
        <v>957</v>
      </c>
      <c r="O966" s="70">
        <v>49253.892499999994</v>
      </c>
      <c r="P966" s="75">
        <v>12147</v>
      </c>
      <c r="Q966" s="75">
        <v>81869</v>
      </c>
      <c r="R966" s="194">
        <v>327567.99249999999</v>
      </c>
      <c r="S966" s="194">
        <v>6093.4500000000007</v>
      </c>
      <c r="T966" s="70">
        <v>1488.0075000000006</v>
      </c>
      <c r="U966" s="80">
        <v>81753.173721494197</v>
      </c>
      <c r="V966" s="73"/>
      <c r="X966" s="30"/>
      <c r="Y966" s="54">
        <v>957</v>
      </c>
      <c r="Z966" s="70">
        <v>59105.949999999975</v>
      </c>
      <c r="AA966" s="75">
        <v>13774</v>
      </c>
      <c r="AB966" s="75">
        <v>7589.7</v>
      </c>
      <c r="AC966" s="75">
        <v>76740.3</v>
      </c>
      <c r="AD966" s="194">
        <v>338543.1</v>
      </c>
      <c r="AE966" s="194">
        <v>7216.5</v>
      </c>
      <c r="AF966" s="76">
        <v>0.09</v>
      </c>
      <c r="AG966" s="70">
        <v>4820.9000000000015</v>
      </c>
      <c r="AH966" s="31"/>
    </row>
    <row r="967" spans="3:34" x14ac:dyDescent="0.25">
      <c r="C967" s="72"/>
      <c r="D967" s="54">
        <v>958</v>
      </c>
      <c r="E967" s="70">
        <v>58351.91</v>
      </c>
      <c r="F967" s="75">
        <v>9879</v>
      </c>
      <c r="G967" s="75">
        <v>88225</v>
      </c>
      <c r="H967" s="194">
        <v>343364</v>
      </c>
      <c r="I967" s="194">
        <v>12791.44</v>
      </c>
      <c r="J967" s="75">
        <v>81753.173721494197</v>
      </c>
      <c r="K967" s="73"/>
      <c r="M967" s="72"/>
      <c r="N967" s="54">
        <v>958</v>
      </c>
      <c r="O967" s="70">
        <v>49444.857499999969</v>
      </c>
      <c r="P967" s="75">
        <v>9513</v>
      </c>
      <c r="Q967" s="75">
        <v>84503</v>
      </c>
      <c r="R967" s="194">
        <v>327890.65749999997</v>
      </c>
      <c r="S967" s="194">
        <v>6225.1500000000005</v>
      </c>
      <c r="T967" s="70">
        <v>1165.3425000000004</v>
      </c>
      <c r="U967" s="80">
        <v>81753.173721494197</v>
      </c>
      <c r="V967" s="73"/>
      <c r="X967" s="30"/>
      <c r="Y967" s="54">
        <v>958</v>
      </c>
      <c r="Z967" s="70">
        <v>86684.799999999988</v>
      </c>
      <c r="AA967" s="75">
        <v>15857</v>
      </c>
      <c r="AB967" s="75">
        <v>5425.32</v>
      </c>
      <c r="AC967" s="75">
        <v>84996.68</v>
      </c>
      <c r="AD967" s="194">
        <v>366426.55</v>
      </c>
      <c r="AE967" s="194">
        <v>7521.1</v>
      </c>
      <c r="AF967" s="76">
        <v>0.06</v>
      </c>
      <c r="AG967" s="70">
        <v>5549.9500000000016</v>
      </c>
      <c r="AH967" s="31"/>
    </row>
    <row r="968" spans="3:34" x14ac:dyDescent="0.25">
      <c r="C968" s="72"/>
      <c r="D968" s="54">
        <v>959</v>
      </c>
      <c r="E968" s="70">
        <v>44493.59</v>
      </c>
      <c r="F968" s="75">
        <v>7410</v>
      </c>
      <c r="G968" s="75">
        <v>86606</v>
      </c>
      <c r="H968" s="194">
        <v>329056</v>
      </c>
      <c r="I968" s="194">
        <v>12341.76</v>
      </c>
      <c r="J968" s="75">
        <v>81753.173721494197</v>
      </c>
      <c r="K968" s="73"/>
      <c r="M968" s="72"/>
      <c r="N968" s="54">
        <v>959</v>
      </c>
      <c r="O968" s="70">
        <v>49262.665000000001</v>
      </c>
      <c r="P968" s="75">
        <v>12026</v>
      </c>
      <c r="Q968" s="75">
        <v>81990</v>
      </c>
      <c r="R968" s="194">
        <v>327582.815</v>
      </c>
      <c r="S968" s="194">
        <v>6099.5</v>
      </c>
      <c r="T968" s="70">
        <v>1473.1850000000006</v>
      </c>
      <c r="U968" s="80">
        <v>81753.173721494197</v>
      </c>
      <c r="V968" s="73"/>
      <c r="X968" s="30"/>
      <c r="Y968" s="54">
        <v>959</v>
      </c>
      <c r="Z968" s="70">
        <v>88252.60000000002</v>
      </c>
      <c r="AA968" s="75">
        <v>10631</v>
      </c>
      <c r="AB968" s="75">
        <v>4782.4000000000005</v>
      </c>
      <c r="AC968" s="75">
        <v>90865.600000000006</v>
      </c>
      <c r="AD968" s="194">
        <v>368255.65</v>
      </c>
      <c r="AE968" s="194">
        <v>7782.4000000000005</v>
      </c>
      <c r="AF968" s="76">
        <v>0.05</v>
      </c>
      <c r="AG968" s="70">
        <v>3720.8500000000008</v>
      </c>
      <c r="AH968" s="31"/>
    </row>
    <row r="969" spans="3:34" x14ac:dyDescent="0.25">
      <c r="C969" s="72"/>
      <c r="D969" s="54">
        <v>960</v>
      </c>
      <c r="E969" s="70">
        <v>44493.59</v>
      </c>
      <c r="F969" s="75">
        <v>4699</v>
      </c>
      <c r="G969" s="75">
        <v>89317</v>
      </c>
      <c r="H969" s="194">
        <v>329056</v>
      </c>
      <c r="I969" s="194">
        <v>12341.76</v>
      </c>
      <c r="J969" s="75">
        <v>81753.173721494197</v>
      </c>
      <c r="K969" s="73"/>
      <c r="M969" s="72"/>
      <c r="N969" s="54">
        <v>960</v>
      </c>
      <c r="O969" s="70">
        <v>63321.17</v>
      </c>
      <c r="P969" s="75">
        <v>12648</v>
      </c>
      <c r="Q969" s="75">
        <v>85456</v>
      </c>
      <c r="R969" s="194">
        <v>341814.62</v>
      </c>
      <c r="S969" s="194">
        <v>6272.8</v>
      </c>
      <c r="T969" s="70">
        <v>1549.3800000000006</v>
      </c>
      <c r="U969" s="80">
        <v>81753.173721494197</v>
      </c>
      <c r="V969" s="73"/>
      <c r="X969" s="30"/>
      <c r="Y969" s="54">
        <v>960</v>
      </c>
      <c r="Z969" s="70">
        <v>32319.55000000001</v>
      </c>
      <c r="AA969" s="75">
        <v>9038</v>
      </c>
      <c r="AB969" s="75">
        <v>4853.3999999999996</v>
      </c>
      <c r="AC969" s="75">
        <v>76036.600000000006</v>
      </c>
      <c r="AD969" s="194">
        <v>311584.7</v>
      </c>
      <c r="AE969" s="194">
        <v>7044.5</v>
      </c>
      <c r="AF969" s="76">
        <v>0.06</v>
      </c>
      <c r="AG969" s="70">
        <v>3163.3000000000006</v>
      </c>
      <c r="AH969" s="31"/>
    </row>
    <row r="970" spans="3:34" x14ac:dyDescent="0.25">
      <c r="C970" s="72"/>
      <c r="D970" s="54">
        <v>961</v>
      </c>
      <c r="E970" s="70">
        <v>58351.91</v>
      </c>
      <c r="F970" s="75">
        <v>9811</v>
      </c>
      <c r="G970" s="75">
        <v>88293</v>
      </c>
      <c r="H970" s="194">
        <v>343364</v>
      </c>
      <c r="I970" s="194">
        <v>12791.44</v>
      </c>
      <c r="J970" s="75">
        <v>81753.173721494197</v>
      </c>
      <c r="K970" s="73"/>
      <c r="M970" s="72"/>
      <c r="N970" s="54">
        <v>961</v>
      </c>
      <c r="O970" s="70">
        <v>49240.044999999969</v>
      </c>
      <c r="P970" s="75">
        <v>12338</v>
      </c>
      <c r="Q970" s="75">
        <v>81678</v>
      </c>
      <c r="R970" s="194">
        <v>327544.59499999997</v>
      </c>
      <c r="S970" s="194">
        <v>6083.9</v>
      </c>
      <c r="T970" s="70">
        <v>1511.4050000000007</v>
      </c>
      <c r="U970" s="80">
        <v>81753.173721494197</v>
      </c>
      <c r="V970" s="73"/>
      <c r="X970" s="30"/>
      <c r="Y970" s="54">
        <v>961</v>
      </c>
      <c r="Z970" s="70">
        <v>60273.85000000002</v>
      </c>
      <c r="AA970" s="75">
        <v>9881</v>
      </c>
      <c r="AB970" s="75">
        <v>8822.3000000000011</v>
      </c>
      <c r="AC970" s="75">
        <v>79400.7</v>
      </c>
      <c r="AD970" s="194">
        <v>339905.65</v>
      </c>
      <c r="AE970" s="194">
        <v>7411.1500000000005</v>
      </c>
      <c r="AF970" s="76">
        <v>0.1</v>
      </c>
      <c r="AG970" s="70">
        <v>3458.3500000000008</v>
      </c>
      <c r="AH970" s="31"/>
    </row>
    <row r="971" spans="3:34" x14ac:dyDescent="0.25">
      <c r="C971" s="72"/>
      <c r="D971" s="54">
        <v>962</v>
      </c>
      <c r="E971" s="70">
        <v>86065.16</v>
      </c>
      <c r="F971" s="75">
        <v>9459</v>
      </c>
      <c r="G971" s="75">
        <v>96820</v>
      </c>
      <c r="H971" s="194">
        <v>371976.5</v>
      </c>
      <c r="I971" s="194">
        <v>13690.69</v>
      </c>
      <c r="J971" s="75">
        <v>81753.173721494197</v>
      </c>
      <c r="K971" s="73"/>
      <c r="M971" s="72"/>
      <c r="N971" s="54">
        <v>962</v>
      </c>
      <c r="O971" s="70">
        <v>91517.67</v>
      </c>
      <c r="P971" s="75">
        <v>12748</v>
      </c>
      <c r="Q971" s="75">
        <v>93531</v>
      </c>
      <c r="R971" s="194">
        <v>370414.87</v>
      </c>
      <c r="S971" s="194">
        <v>6676.55</v>
      </c>
      <c r="T971" s="70">
        <v>1561.6300000000008</v>
      </c>
      <c r="U971" s="80">
        <v>81753.173721494197</v>
      </c>
      <c r="V971" s="73"/>
      <c r="X971" s="30"/>
      <c r="Y971" s="54">
        <v>962</v>
      </c>
      <c r="Z971" s="70">
        <v>44936.650000000009</v>
      </c>
      <c r="AA971" s="75">
        <v>13993</v>
      </c>
      <c r="AB971" s="75">
        <v>4801.38</v>
      </c>
      <c r="AC971" s="75">
        <v>75221.62</v>
      </c>
      <c r="AD971" s="194">
        <v>324158.45</v>
      </c>
      <c r="AE971" s="194">
        <v>7001.15</v>
      </c>
      <c r="AF971" s="76">
        <v>0.06</v>
      </c>
      <c r="AG971" s="70">
        <v>4897.5500000000011</v>
      </c>
      <c r="AH971" s="31"/>
    </row>
    <row r="972" spans="3:34" x14ac:dyDescent="0.25">
      <c r="C972" s="72"/>
      <c r="D972" s="54">
        <v>963</v>
      </c>
      <c r="E972" s="70">
        <v>44493.59</v>
      </c>
      <c r="F972" s="75">
        <v>9424</v>
      </c>
      <c r="G972" s="75">
        <v>84592</v>
      </c>
      <c r="H972" s="194">
        <v>329056</v>
      </c>
      <c r="I972" s="194">
        <v>12341.76</v>
      </c>
      <c r="J972" s="75">
        <v>81753.173721494197</v>
      </c>
      <c r="K972" s="73"/>
      <c r="M972" s="72"/>
      <c r="N972" s="54">
        <v>963</v>
      </c>
      <c r="O972" s="70">
        <v>91678.257500000022</v>
      </c>
      <c r="P972" s="75">
        <v>10533</v>
      </c>
      <c r="Q972" s="75">
        <v>95746</v>
      </c>
      <c r="R972" s="194">
        <v>370686.20750000002</v>
      </c>
      <c r="S972" s="194">
        <v>6787.3</v>
      </c>
      <c r="T972" s="70">
        <v>1290.2925000000005</v>
      </c>
      <c r="U972" s="80">
        <v>81753.173721494197</v>
      </c>
      <c r="V972" s="73"/>
      <c r="X972" s="30"/>
      <c r="Y972" s="54">
        <v>963</v>
      </c>
      <c r="Z972" s="70">
        <v>46290.250000000022</v>
      </c>
      <c r="AA972" s="75">
        <v>9481</v>
      </c>
      <c r="AB972" s="75">
        <v>5917.4500000000007</v>
      </c>
      <c r="AC972" s="75">
        <v>78617.55</v>
      </c>
      <c r="AD972" s="194">
        <v>325737.65000000002</v>
      </c>
      <c r="AE972" s="194">
        <v>7226.75</v>
      </c>
      <c r="AF972" s="76">
        <v>7.0000000000000007E-2</v>
      </c>
      <c r="AG972" s="70">
        <v>3318.3500000000008</v>
      </c>
      <c r="AH972" s="31"/>
    </row>
    <row r="973" spans="3:34" x14ac:dyDescent="0.25">
      <c r="C973" s="72"/>
      <c r="D973" s="54">
        <v>964</v>
      </c>
      <c r="E973" s="70">
        <v>58351.91</v>
      </c>
      <c r="F973" s="75">
        <v>4776</v>
      </c>
      <c r="G973" s="75">
        <v>93328</v>
      </c>
      <c r="H973" s="194">
        <v>343364</v>
      </c>
      <c r="I973" s="194">
        <v>12791.44</v>
      </c>
      <c r="J973" s="75">
        <v>81753.173721494197</v>
      </c>
      <c r="K973" s="73"/>
      <c r="M973" s="72"/>
      <c r="N973" s="54">
        <v>964</v>
      </c>
      <c r="O973" s="70">
        <v>63387.652500000011</v>
      </c>
      <c r="P973" s="75">
        <v>11731</v>
      </c>
      <c r="Q973" s="75">
        <v>86373</v>
      </c>
      <c r="R973" s="194">
        <v>341926.95250000001</v>
      </c>
      <c r="S973" s="194">
        <v>6318.6500000000005</v>
      </c>
      <c r="T973" s="70">
        <v>1437.0475000000006</v>
      </c>
      <c r="U973" s="80">
        <v>81753.173721494197</v>
      </c>
      <c r="V973" s="73"/>
      <c r="X973" s="30"/>
      <c r="Y973" s="54">
        <v>964</v>
      </c>
      <c r="Z973" s="70">
        <v>46339.750000000022</v>
      </c>
      <c r="AA973" s="75">
        <v>9316</v>
      </c>
      <c r="AB973" s="75">
        <v>8470</v>
      </c>
      <c r="AC973" s="75">
        <v>76230</v>
      </c>
      <c r="AD973" s="194">
        <v>325795.40000000002</v>
      </c>
      <c r="AE973" s="194">
        <v>7235</v>
      </c>
      <c r="AF973" s="76">
        <v>0.1</v>
      </c>
      <c r="AG973" s="70">
        <v>3260.6000000000008</v>
      </c>
      <c r="AH973" s="31"/>
    </row>
    <row r="974" spans="3:34" x14ac:dyDescent="0.25">
      <c r="C974" s="72"/>
      <c r="D974" s="54">
        <v>965</v>
      </c>
      <c r="E974" s="70">
        <v>44493.59</v>
      </c>
      <c r="F974" s="75">
        <v>7478</v>
      </c>
      <c r="G974" s="75">
        <v>86538</v>
      </c>
      <c r="H974" s="194">
        <v>329056</v>
      </c>
      <c r="I974" s="194">
        <v>12341.76</v>
      </c>
      <c r="J974" s="75">
        <v>81753.173721494197</v>
      </c>
      <c r="K974" s="73"/>
      <c r="M974" s="72"/>
      <c r="N974" s="54">
        <v>965</v>
      </c>
      <c r="O974" s="70">
        <v>49247.367500000029</v>
      </c>
      <c r="P974" s="75">
        <v>12237</v>
      </c>
      <c r="Q974" s="75">
        <v>81779</v>
      </c>
      <c r="R974" s="194">
        <v>327556.96750000003</v>
      </c>
      <c r="S974" s="194">
        <v>6088.9500000000007</v>
      </c>
      <c r="T974" s="70">
        <v>1499.0325000000007</v>
      </c>
      <c r="U974" s="80">
        <v>81753.173721494197</v>
      </c>
      <c r="V974" s="73"/>
      <c r="X974" s="30"/>
      <c r="Y974" s="54">
        <v>965</v>
      </c>
      <c r="Z974" s="70">
        <v>45147.849999999977</v>
      </c>
      <c r="AA974" s="75">
        <v>13289</v>
      </c>
      <c r="AB974" s="75">
        <v>7265.4299999999994</v>
      </c>
      <c r="AC974" s="75">
        <v>73461.570000000007</v>
      </c>
      <c r="AD974" s="194">
        <v>324404.84999999998</v>
      </c>
      <c r="AE974" s="194">
        <v>7036.35</v>
      </c>
      <c r="AF974" s="76">
        <v>0.09</v>
      </c>
      <c r="AG974" s="70">
        <v>4651.1500000000015</v>
      </c>
      <c r="AH974" s="31"/>
    </row>
    <row r="975" spans="3:34" x14ac:dyDescent="0.25">
      <c r="C975" s="72"/>
      <c r="D975" s="54">
        <v>966</v>
      </c>
      <c r="E975" s="70">
        <v>86065.16</v>
      </c>
      <c r="F975" s="75">
        <v>5324</v>
      </c>
      <c r="G975" s="75">
        <v>100955</v>
      </c>
      <c r="H975" s="194">
        <v>371976.5</v>
      </c>
      <c r="I975" s="194">
        <v>13690.69</v>
      </c>
      <c r="J975" s="75">
        <v>81753.173721494197</v>
      </c>
      <c r="K975" s="73"/>
      <c r="M975" s="72"/>
      <c r="N975" s="54">
        <v>966</v>
      </c>
      <c r="O975" s="70">
        <v>35314.722500000011</v>
      </c>
      <c r="P975" s="75">
        <v>9879</v>
      </c>
      <c r="Q975" s="75">
        <v>80049</v>
      </c>
      <c r="R975" s="194">
        <v>313537.82250000001</v>
      </c>
      <c r="S975" s="194">
        <v>6002.4500000000007</v>
      </c>
      <c r="T975" s="70">
        <v>1210.1775000000005</v>
      </c>
      <c r="U975" s="80">
        <v>81753.173721494197</v>
      </c>
      <c r="V975" s="73"/>
      <c r="X975" s="30"/>
      <c r="Y975" s="54">
        <v>966</v>
      </c>
      <c r="Z975" s="70">
        <v>45165.250000000022</v>
      </c>
      <c r="AA975" s="75">
        <v>13231</v>
      </c>
      <c r="AB975" s="75">
        <v>5654.9500000000007</v>
      </c>
      <c r="AC975" s="75">
        <v>75130.05</v>
      </c>
      <c r="AD975" s="194">
        <v>324425.15000000002</v>
      </c>
      <c r="AE975" s="194">
        <v>7039.25</v>
      </c>
      <c r="AF975" s="76">
        <v>7.0000000000000007E-2</v>
      </c>
      <c r="AG975" s="70">
        <v>4630.8500000000013</v>
      </c>
      <c r="AH975" s="31"/>
    </row>
    <row r="976" spans="3:34" x14ac:dyDescent="0.25">
      <c r="C976" s="72"/>
      <c r="D976" s="54">
        <v>967</v>
      </c>
      <c r="E976" s="70">
        <v>44493.59</v>
      </c>
      <c r="F976" s="75">
        <v>8462</v>
      </c>
      <c r="G976" s="75">
        <v>85554</v>
      </c>
      <c r="H976" s="194">
        <v>329056</v>
      </c>
      <c r="I976" s="194">
        <v>12341.76</v>
      </c>
      <c r="J976" s="75">
        <v>81753.173721494197</v>
      </c>
      <c r="K976" s="73"/>
      <c r="M976" s="72"/>
      <c r="N976" s="54">
        <v>967</v>
      </c>
      <c r="O976" s="70">
        <v>35039.367500000008</v>
      </c>
      <c r="P976" s="75">
        <v>13677</v>
      </c>
      <c r="Q976" s="75">
        <v>76251</v>
      </c>
      <c r="R976" s="194">
        <v>313072.5675</v>
      </c>
      <c r="S976" s="194">
        <v>5812.55</v>
      </c>
      <c r="T976" s="70">
        <v>1675.4325000000008</v>
      </c>
      <c r="U976" s="80">
        <v>81753.173721494197</v>
      </c>
      <c r="V976" s="73"/>
      <c r="X976" s="30"/>
      <c r="Y976" s="54">
        <v>967</v>
      </c>
      <c r="Z976" s="70">
        <v>32326.749999999978</v>
      </c>
      <c r="AA976" s="75">
        <v>9014</v>
      </c>
      <c r="AB976" s="75">
        <v>5663.9800000000005</v>
      </c>
      <c r="AC976" s="75">
        <v>75250.02</v>
      </c>
      <c r="AD976" s="194">
        <v>311593.09999999998</v>
      </c>
      <c r="AE976" s="194">
        <v>7045.7000000000007</v>
      </c>
      <c r="AF976" s="76">
        <v>7.0000000000000007E-2</v>
      </c>
      <c r="AG976" s="70">
        <v>3154.900000000001</v>
      </c>
      <c r="AH976" s="31"/>
    </row>
    <row r="977" spans="3:34" x14ac:dyDescent="0.25">
      <c r="C977" s="72"/>
      <c r="D977" s="54">
        <v>968</v>
      </c>
      <c r="E977" s="70">
        <v>86065.16</v>
      </c>
      <c r="F977" s="75">
        <v>5363</v>
      </c>
      <c r="G977" s="75">
        <v>100916</v>
      </c>
      <c r="H977" s="194">
        <v>371976.5</v>
      </c>
      <c r="I977" s="194">
        <v>13690.69</v>
      </c>
      <c r="J977" s="75">
        <v>81753.173721494197</v>
      </c>
      <c r="K977" s="73"/>
      <c r="M977" s="72"/>
      <c r="N977" s="54">
        <v>968</v>
      </c>
      <c r="O977" s="70">
        <v>63515.034999999996</v>
      </c>
      <c r="P977" s="75">
        <v>9974</v>
      </c>
      <c r="Q977" s="75">
        <v>88130</v>
      </c>
      <c r="R977" s="194">
        <v>342142.185</v>
      </c>
      <c r="S977" s="194">
        <v>6406.5</v>
      </c>
      <c r="T977" s="70">
        <v>1221.8150000000005</v>
      </c>
      <c r="U977" s="80">
        <v>81753.173721494197</v>
      </c>
      <c r="V977" s="73"/>
      <c r="X977" s="30"/>
      <c r="Y977" s="54">
        <v>968</v>
      </c>
      <c r="Z977" s="70">
        <v>45527.650000000009</v>
      </c>
      <c r="AA977" s="75">
        <v>12023</v>
      </c>
      <c r="AB977" s="75">
        <v>7379.37</v>
      </c>
      <c r="AC977" s="75">
        <v>74613.63</v>
      </c>
      <c r="AD977" s="194">
        <v>324847.95</v>
      </c>
      <c r="AE977" s="194">
        <v>7099.6500000000005</v>
      </c>
      <c r="AF977" s="76">
        <v>0.09</v>
      </c>
      <c r="AG977" s="70">
        <v>4208.0500000000011</v>
      </c>
      <c r="AH977" s="31"/>
    </row>
    <row r="978" spans="3:34" x14ac:dyDescent="0.25">
      <c r="C978" s="72"/>
      <c r="D978" s="54">
        <v>969</v>
      </c>
      <c r="E978" s="70">
        <v>44493.59</v>
      </c>
      <c r="F978" s="75">
        <v>6513</v>
      </c>
      <c r="G978" s="75">
        <v>87503</v>
      </c>
      <c r="H978" s="194">
        <v>329056</v>
      </c>
      <c r="I978" s="194">
        <v>12341.76</v>
      </c>
      <c r="J978" s="75">
        <v>81753.173721494197</v>
      </c>
      <c r="K978" s="73"/>
      <c r="M978" s="72"/>
      <c r="N978" s="54">
        <v>969</v>
      </c>
      <c r="O978" s="70">
        <v>63328.63749999999</v>
      </c>
      <c r="P978" s="75">
        <v>12545</v>
      </c>
      <c r="Q978" s="75">
        <v>85559</v>
      </c>
      <c r="R978" s="194">
        <v>341827.23749999999</v>
      </c>
      <c r="S978" s="194">
        <v>6277.95</v>
      </c>
      <c r="T978" s="70">
        <v>1536.7625000000007</v>
      </c>
      <c r="U978" s="80">
        <v>81753.173721494197</v>
      </c>
      <c r="V978" s="73"/>
      <c r="X978" s="30"/>
      <c r="Y978" s="54">
        <v>969</v>
      </c>
      <c r="Z978" s="70">
        <v>44935.44999999999</v>
      </c>
      <c r="AA978" s="75">
        <v>13997</v>
      </c>
      <c r="AB978" s="75">
        <v>8001.9000000000005</v>
      </c>
      <c r="AC978" s="75">
        <v>72017.100000000006</v>
      </c>
      <c r="AD978" s="194">
        <v>324157.05</v>
      </c>
      <c r="AE978" s="194">
        <v>7000.9500000000007</v>
      </c>
      <c r="AF978" s="76">
        <v>0.1</v>
      </c>
      <c r="AG978" s="70">
        <v>4898.9500000000016</v>
      </c>
      <c r="AH978" s="31"/>
    </row>
    <row r="979" spans="3:34" x14ac:dyDescent="0.25">
      <c r="C979" s="72"/>
      <c r="D979" s="54">
        <v>970</v>
      </c>
      <c r="E979" s="70">
        <v>30635.27</v>
      </c>
      <c r="F979" s="75">
        <v>7982</v>
      </c>
      <c r="G979" s="75">
        <v>81946</v>
      </c>
      <c r="H979" s="194">
        <v>314748</v>
      </c>
      <c r="I979" s="194">
        <v>11892.08</v>
      </c>
      <c r="J979" s="75">
        <v>81753.173721494197</v>
      </c>
      <c r="K979" s="73"/>
      <c r="M979" s="72"/>
      <c r="N979" s="54">
        <v>970</v>
      </c>
      <c r="O979" s="70">
        <v>63224.672500000008</v>
      </c>
      <c r="P979" s="75">
        <v>13979</v>
      </c>
      <c r="Q979" s="75">
        <v>84125</v>
      </c>
      <c r="R979" s="194">
        <v>341651.57250000001</v>
      </c>
      <c r="S979" s="194">
        <v>6206.25</v>
      </c>
      <c r="T979" s="70">
        <v>1712.4275000000007</v>
      </c>
      <c r="U979" s="80">
        <v>81753.173721494197</v>
      </c>
      <c r="V979" s="73"/>
      <c r="X979" s="30"/>
      <c r="Y979" s="54">
        <v>970</v>
      </c>
      <c r="Z979" s="70">
        <v>46014.55</v>
      </c>
      <c r="AA979" s="75">
        <v>10400</v>
      </c>
      <c r="AB979" s="75">
        <v>5016.96</v>
      </c>
      <c r="AC979" s="75">
        <v>78599.039999999994</v>
      </c>
      <c r="AD979" s="194">
        <v>325416</v>
      </c>
      <c r="AE979" s="194">
        <v>7180.8</v>
      </c>
      <c r="AF979" s="76">
        <v>0.06</v>
      </c>
      <c r="AG979" s="70">
        <v>3640.0000000000009</v>
      </c>
      <c r="AH979" s="31"/>
    </row>
    <row r="980" spans="3:34" x14ac:dyDescent="0.25">
      <c r="C980" s="72"/>
      <c r="D980" s="54">
        <v>971</v>
      </c>
      <c r="E980" s="70">
        <v>30635.27</v>
      </c>
      <c r="F980" s="75">
        <v>6291</v>
      </c>
      <c r="G980" s="75">
        <v>83637</v>
      </c>
      <c r="H980" s="194">
        <v>314748</v>
      </c>
      <c r="I980" s="194">
        <v>11892.08</v>
      </c>
      <c r="J980" s="75">
        <v>81753.173721494197</v>
      </c>
      <c r="K980" s="73"/>
      <c r="M980" s="72"/>
      <c r="N980" s="54">
        <v>971</v>
      </c>
      <c r="O980" s="70">
        <v>49393.382499999992</v>
      </c>
      <c r="P980" s="75">
        <v>10223</v>
      </c>
      <c r="Q980" s="75">
        <v>83793</v>
      </c>
      <c r="R980" s="194">
        <v>327803.6825</v>
      </c>
      <c r="S980" s="194">
        <v>6189.6500000000005</v>
      </c>
      <c r="T980" s="70">
        <v>1252.3175000000006</v>
      </c>
      <c r="U980" s="80">
        <v>81753.173721494197</v>
      </c>
      <c r="V980" s="73"/>
      <c r="X980" s="30"/>
      <c r="Y980" s="54">
        <v>971</v>
      </c>
      <c r="Z980" s="70">
        <v>46006.750000000022</v>
      </c>
      <c r="AA980" s="75">
        <v>10426</v>
      </c>
      <c r="AB980" s="75">
        <v>5851.3</v>
      </c>
      <c r="AC980" s="75">
        <v>77738.7</v>
      </c>
      <c r="AD980" s="194">
        <v>325406.90000000002</v>
      </c>
      <c r="AE980" s="194">
        <v>7179.5</v>
      </c>
      <c r="AF980" s="76">
        <v>7.0000000000000007E-2</v>
      </c>
      <c r="AG980" s="70">
        <v>3649.1000000000008</v>
      </c>
      <c r="AH980" s="31"/>
    </row>
    <row r="981" spans="3:34" x14ac:dyDescent="0.25">
      <c r="C981" s="72"/>
      <c r="D981" s="54">
        <v>972</v>
      </c>
      <c r="E981" s="70">
        <v>44493.59</v>
      </c>
      <c r="F981" s="75">
        <v>4735</v>
      </c>
      <c r="G981" s="75">
        <v>89281</v>
      </c>
      <c r="H981" s="194">
        <v>329056</v>
      </c>
      <c r="I981" s="194">
        <v>12341.76</v>
      </c>
      <c r="J981" s="75">
        <v>81753.173721494197</v>
      </c>
      <c r="K981" s="73"/>
      <c r="M981" s="72"/>
      <c r="N981" s="54">
        <v>972</v>
      </c>
      <c r="O981" s="70">
        <v>63170.442500000005</v>
      </c>
      <c r="P981" s="75">
        <v>14727</v>
      </c>
      <c r="Q981" s="75">
        <v>83377</v>
      </c>
      <c r="R981" s="194">
        <v>341559.9425</v>
      </c>
      <c r="S981" s="194">
        <v>6168.85</v>
      </c>
      <c r="T981" s="70">
        <v>1804.0575000000008</v>
      </c>
      <c r="U981" s="80">
        <v>81753.173721494197</v>
      </c>
      <c r="V981" s="73"/>
      <c r="X981" s="30"/>
      <c r="Y981" s="54">
        <v>972</v>
      </c>
      <c r="Z981" s="70">
        <v>45794.05</v>
      </c>
      <c r="AA981" s="75">
        <v>11135</v>
      </c>
      <c r="AB981" s="75">
        <v>4972.8599999999997</v>
      </c>
      <c r="AC981" s="75">
        <v>77908.14</v>
      </c>
      <c r="AD981" s="194">
        <v>325158.75</v>
      </c>
      <c r="AE981" s="194">
        <v>7144.05</v>
      </c>
      <c r="AF981" s="76">
        <v>0.06</v>
      </c>
      <c r="AG981" s="70">
        <v>3897.2500000000009</v>
      </c>
      <c r="AH981" s="31"/>
    </row>
    <row r="982" spans="3:34" x14ac:dyDescent="0.25">
      <c r="C982" s="72"/>
      <c r="D982" s="54">
        <v>973</v>
      </c>
      <c r="E982" s="70">
        <v>58351.91</v>
      </c>
      <c r="F982" s="75">
        <v>7938</v>
      </c>
      <c r="G982" s="75">
        <v>90166</v>
      </c>
      <c r="H982" s="194">
        <v>343364</v>
      </c>
      <c r="I982" s="194">
        <v>12791.44</v>
      </c>
      <c r="J982" s="75">
        <v>81753.173721494197</v>
      </c>
      <c r="K982" s="73"/>
      <c r="M982" s="72"/>
      <c r="N982" s="54">
        <v>973</v>
      </c>
      <c r="O982" s="70">
        <v>49383.232499999969</v>
      </c>
      <c r="P982" s="75">
        <v>10363</v>
      </c>
      <c r="Q982" s="75">
        <v>83653</v>
      </c>
      <c r="R982" s="194">
        <v>327786.53249999997</v>
      </c>
      <c r="S982" s="194">
        <v>6182.6500000000005</v>
      </c>
      <c r="T982" s="70">
        <v>1269.4675000000007</v>
      </c>
      <c r="U982" s="80">
        <v>81753.173721494197</v>
      </c>
      <c r="V982" s="73"/>
      <c r="X982" s="30"/>
      <c r="Y982" s="54">
        <v>973</v>
      </c>
      <c r="Z982" s="70">
        <v>31305.849999999988</v>
      </c>
      <c r="AA982" s="75">
        <v>12417</v>
      </c>
      <c r="AB982" s="75">
        <v>4650.66</v>
      </c>
      <c r="AC982" s="75">
        <v>72860.34</v>
      </c>
      <c r="AD982" s="194">
        <v>310402.05</v>
      </c>
      <c r="AE982" s="194">
        <v>6875.55</v>
      </c>
      <c r="AF982" s="76">
        <v>0.06</v>
      </c>
      <c r="AG982" s="70">
        <v>4345.9500000000007</v>
      </c>
      <c r="AH982" s="31"/>
    </row>
    <row r="983" spans="3:34" x14ac:dyDescent="0.25">
      <c r="C983" s="72"/>
      <c r="D983" s="54">
        <v>974</v>
      </c>
      <c r="E983" s="70">
        <v>44493.59</v>
      </c>
      <c r="F983" s="75">
        <v>8487</v>
      </c>
      <c r="G983" s="75">
        <v>85529</v>
      </c>
      <c r="H983" s="194">
        <v>329056</v>
      </c>
      <c r="I983" s="194">
        <v>12341.76</v>
      </c>
      <c r="J983" s="75">
        <v>81753.173721494197</v>
      </c>
      <c r="K983" s="73"/>
      <c r="M983" s="72"/>
      <c r="N983" s="54">
        <v>974</v>
      </c>
      <c r="O983" s="70">
        <v>49381.27499999998</v>
      </c>
      <c r="P983" s="75">
        <v>10390</v>
      </c>
      <c r="Q983" s="75">
        <v>83626</v>
      </c>
      <c r="R983" s="194">
        <v>327783.22499999998</v>
      </c>
      <c r="S983" s="194">
        <v>6181.3</v>
      </c>
      <c r="T983" s="70">
        <v>1272.7750000000005</v>
      </c>
      <c r="U983" s="80">
        <v>81753.173721494197</v>
      </c>
      <c r="V983" s="73"/>
      <c r="X983" s="30"/>
      <c r="Y983" s="54">
        <v>974</v>
      </c>
      <c r="Z983" s="70">
        <v>32083.150000000023</v>
      </c>
      <c r="AA983" s="75">
        <v>9826</v>
      </c>
      <c r="AB983" s="75">
        <v>6408.16</v>
      </c>
      <c r="AC983" s="75">
        <v>73693.84</v>
      </c>
      <c r="AD983" s="194">
        <v>311308.90000000002</v>
      </c>
      <c r="AE983" s="194">
        <v>7005.1</v>
      </c>
      <c r="AF983" s="76">
        <v>0.08</v>
      </c>
      <c r="AG983" s="70">
        <v>3439.1000000000008</v>
      </c>
      <c r="AH983" s="31"/>
    </row>
    <row r="984" spans="3:34" x14ac:dyDescent="0.25">
      <c r="C984" s="72"/>
      <c r="D984" s="54">
        <v>975</v>
      </c>
      <c r="E984" s="70">
        <v>44493.59</v>
      </c>
      <c r="F984" s="75">
        <v>9597</v>
      </c>
      <c r="G984" s="75">
        <v>84419</v>
      </c>
      <c r="H984" s="194">
        <v>329056</v>
      </c>
      <c r="I984" s="194">
        <v>12341.76</v>
      </c>
      <c r="J984" s="75">
        <v>81753.173721494197</v>
      </c>
      <c r="K984" s="73"/>
      <c r="M984" s="72"/>
      <c r="N984" s="54">
        <v>975</v>
      </c>
      <c r="O984" s="70">
        <v>49391.714999999989</v>
      </c>
      <c r="P984" s="75">
        <v>10246</v>
      </c>
      <c r="Q984" s="75">
        <v>83770</v>
      </c>
      <c r="R984" s="194">
        <v>327800.86499999999</v>
      </c>
      <c r="S984" s="194">
        <v>6188.5</v>
      </c>
      <c r="T984" s="70">
        <v>1255.1350000000004</v>
      </c>
      <c r="U984" s="80">
        <v>81753.173721494197</v>
      </c>
      <c r="V984" s="73"/>
      <c r="X984" s="30"/>
      <c r="Y984" s="54">
        <v>975</v>
      </c>
      <c r="Z984" s="70">
        <v>59993.65</v>
      </c>
      <c r="AA984" s="75">
        <v>10815</v>
      </c>
      <c r="AB984" s="75">
        <v>5237.34</v>
      </c>
      <c r="AC984" s="75">
        <v>82051.66</v>
      </c>
      <c r="AD984" s="194">
        <v>339578.75</v>
      </c>
      <c r="AE984" s="194">
        <v>7364.45</v>
      </c>
      <c r="AF984" s="76">
        <v>0.06</v>
      </c>
      <c r="AG984" s="70">
        <v>3785.2500000000009</v>
      </c>
      <c r="AH984" s="31"/>
    </row>
    <row r="985" spans="3:34" x14ac:dyDescent="0.25">
      <c r="C985" s="72"/>
      <c r="D985" s="54">
        <v>976</v>
      </c>
      <c r="E985" s="70">
        <v>58351.91</v>
      </c>
      <c r="F985" s="75">
        <v>8953</v>
      </c>
      <c r="G985" s="75">
        <v>89151</v>
      </c>
      <c r="H985" s="194">
        <v>343364</v>
      </c>
      <c r="I985" s="194">
        <v>12791.44</v>
      </c>
      <c r="J985" s="75">
        <v>81753.173721494197</v>
      </c>
      <c r="K985" s="73"/>
      <c r="M985" s="72"/>
      <c r="N985" s="54">
        <v>976</v>
      </c>
      <c r="O985" s="70">
        <v>49180.450000000026</v>
      </c>
      <c r="P985" s="75">
        <v>13160</v>
      </c>
      <c r="Q985" s="75">
        <v>80856</v>
      </c>
      <c r="R985" s="194">
        <v>327443.90000000002</v>
      </c>
      <c r="S985" s="194">
        <v>6042.8</v>
      </c>
      <c r="T985" s="70">
        <v>1612.1000000000006</v>
      </c>
      <c r="U985" s="80">
        <v>81753.173721494197</v>
      </c>
      <c r="V985" s="73"/>
      <c r="X985" s="30"/>
      <c r="Y985" s="54">
        <v>976</v>
      </c>
      <c r="Z985" s="70">
        <v>86972.500000000015</v>
      </c>
      <c r="AA985" s="75">
        <v>14898</v>
      </c>
      <c r="AB985" s="75">
        <v>9138.1</v>
      </c>
      <c r="AC985" s="75">
        <v>82242.899999999994</v>
      </c>
      <c r="AD985" s="194">
        <v>366762.2</v>
      </c>
      <c r="AE985" s="194">
        <v>7569.05</v>
      </c>
      <c r="AF985" s="76">
        <v>0.1</v>
      </c>
      <c r="AG985" s="70">
        <v>5214.3000000000011</v>
      </c>
      <c r="AH985" s="31"/>
    </row>
    <row r="986" spans="3:34" x14ac:dyDescent="0.25">
      <c r="C986" s="72"/>
      <c r="D986" s="54">
        <v>977</v>
      </c>
      <c r="E986" s="70">
        <v>44493.59</v>
      </c>
      <c r="F986" s="75">
        <v>7378</v>
      </c>
      <c r="G986" s="75">
        <v>86638</v>
      </c>
      <c r="H986" s="194">
        <v>329056</v>
      </c>
      <c r="I986" s="194">
        <v>12341.76</v>
      </c>
      <c r="J986" s="75">
        <v>81753.173721494197</v>
      </c>
      <c r="K986" s="73"/>
      <c r="M986" s="72"/>
      <c r="N986" s="54">
        <v>977</v>
      </c>
      <c r="O986" s="70">
        <v>49318.345000000016</v>
      </c>
      <c r="P986" s="75">
        <v>11258</v>
      </c>
      <c r="Q986" s="75">
        <v>82758</v>
      </c>
      <c r="R986" s="194">
        <v>327676.89500000002</v>
      </c>
      <c r="S986" s="194">
        <v>6137.9000000000005</v>
      </c>
      <c r="T986" s="70">
        <v>1379.1050000000007</v>
      </c>
      <c r="U986" s="80">
        <v>81753.173721494197</v>
      </c>
      <c r="V986" s="73"/>
      <c r="X986" s="30"/>
      <c r="Y986" s="54">
        <v>977</v>
      </c>
      <c r="Z986" s="70">
        <v>45733.44999999999</v>
      </c>
      <c r="AA986" s="75">
        <v>11337</v>
      </c>
      <c r="AB986" s="75">
        <v>4133.95</v>
      </c>
      <c r="AC986" s="75">
        <v>78545.05</v>
      </c>
      <c r="AD986" s="194">
        <v>325088.05</v>
      </c>
      <c r="AE986" s="194">
        <v>7133.95</v>
      </c>
      <c r="AF986" s="76">
        <v>0.05</v>
      </c>
      <c r="AG986" s="70">
        <v>3967.9500000000012</v>
      </c>
      <c r="AH986" s="31"/>
    </row>
    <row r="987" spans="3:34" x14ac:dyDescent="0.25">
      <c r="C987" s="72"/>
      <c r="D987" s="54">
        <v>978</v>
      </c>
      <c r="E987" s="70">
        <v>30635.27</v>
      </c>
      <c r="F987" s="75">
        <v>4458</v>
      </c>
      <c r="G987" s="75">
        <v>85470</v>
      </c>
      <c r="H987" s="194">
        <v>314748</v>
      </c>
      <c r="I987" s="194">
        <v>11892.08</v>
      </c>
      <c r="J987" s="75">
        <v>81753.173721494197</v>
      </c>
      <c r="K987" s="73"/>
      <c r="M987" s="72"/>
      <c r="N987" s="54">
        <v>978</v>
      </c>
      <c r="O987" s="70">
        <v>63324.505000000005</v>
      </c>
      <c r="P987" s="75">
        <v>12602</v>
      </c>
      <c r="Q987" s="75">
        <v>85502</v>
      </c>
      <c r="R987" s="194">
        <v>341820.255</v>
      </c>
      <c r="S987" s="194">
        <v>6275.1</v>
      </c>
      <c r="T987" s="70">
        <v>1543.7450000000006</v>
      </c>
      <c r="U987" s="80">
        <v>81753.173721494197</v>
      </c>
      <c r="V987" s="73"/>
      <c r="X987" s="30"/>
      <c r="Y987" s="54">
        <v>978</v>
      </c>
      <c r="Z987" s="70">
        <v>45202.44999999999</v>
      </c>
      <c r="AA987" s="75">
        <v>13107</v>
      </c>
      <c r="AB987" s="75">
        <v>6472.72</v>
      </c>
      <c r="AC987" s="75">
        <v>74436.28</v>
      </c>
      <c r="AD987" s="194">
        <v>324468.55</v>
      </c>
      <c r="AE987" s="194">
        <v>7045.4500000000007</v>
      </c>
      <c r="AF987" s="76">
        <v>0.08</v>
      </c>
      <c r="AG987" s="70">
        <v>4587.4500000000007</v>
      </c>
      <c r="AH987" s="31"/>
    </row>
    <row r="988" spans="3:34" x14ac:dyDescent="0.25">
      <c r="C988" s="72"/>
      <c r="D988" s="54">
        <v>979</v>
      </c>
      <c r="E988" s="70">
        <v>44493.59</v>
      </c>
      <c r="F988" s="75">
        <v>9357</v>
      </c>
      <c r="G988" s="75">
        <v>84659</v>
      </c>
      <c r="H988" s="194">
        <v>329056</v>
      </c>
      <c r="I988" s="194">
        <v>12341.76</v>
      </c>
      <c r="J988" s="75">
        <v>81753.173721494197</v>
      </c>
      <c r="K988" s="73"/>
      <c r="M988" s="72"/>
      <c r="N988" s="54">
        <v>979</v>
      </c>
      <c r="O988" s="70">
        <v>35069.672500000022</v>
      </c>
      <c r="P988" s="75">
        <v>13259</v>
      </c>
      <c r="Q988" s="75">
        <v>76669</v>
      </c>
      <c r="R988" s="194">
        <v>313123.77250000002</v>
      </c>
      <c r="S988" s="194">
        <v>5833.4500000000007</v>
      </c>
      <c r="T988" s="70">
        <v>1624.2275000000006</v>
      </c>
      <c r="U988" s="80">
        <v>81753.173721494197</v>
      </c>
      <c r="V988" s="73"/>
      <c r="X988" s="30"/>
      <c r="Y988" s="54">
        <v>979</v>
      </c>
      <c r="Z988" s="70">
        <v>88294.9</v>
      </c>
      <c r="AA988" s="75">
        <v>10490</v>
      </c>
      <c r="AB988" s="75">
        <v>7663.12</v>
      </c>
      <c r="AC988" s="75">
        <v>88125.88</v>
      </c>
      <c r="AD988" s="194">
        <v>368305</v>
      </c>
      <c r="AE988" s="194">
        <v>7789.45</v>
      </c>
      <c r="AF988" s="76">
        <v>0.08</v>
      </c>
      <c r="AG988" s="70">
        <v>3671.5000000000009</v>
      </c>
      <c r="AH988" s="31"/>
    </row>
    <row r="989" spans="3:34" x14ac:dyDescent="0.25">
      <c r="C989" s="72"/>
      <c r="D989" s="54">
        <v>980</v>
      </c>
      <c r="E989" s="70">
        <v>58351.91</v>
      </c>
      <c r="F989" s="75">
        <v>5961</v>
      </c>
      <c r="G989" s="75">
        <v>92143</v>
      </c>
      <c r="H989" s="194">
        <v>343364</v>
      </c>
      <c r="I989" s="194">
        <v>12791.44</v>
      </c>
      <c r="J989" s="75">
        <v>81753.173721494197</v>
      </c>
      <c r="K989" s="73"/>
      <c r="M989" s="72"/>
      <c r="N989" s="54">
        <v>980</v>
      </c>
      <c r="O989" s="70">
        <v>63444.564999999988</v>
      </c>
      <c r="P989" s="75">
        <v>10946</v>
      </c>
      <c r="Q989" s="75">
        <v>87158</v>
      </c>
      <c r="R989" s="194">
        <v>342023.11499999999</v>
      </c>
      <c r="S989" s="194">
        <v>6357.9000000000005</v>
      </c>
      <c r="T989" s="70">
        <v>1340.8850000000007</v>
      </c>
      <c r="U989" s="80">
        <v>81753.173721494197</v>
      </c>
      <c r="V989" s="73"/>
      <c r="X989" s="30"/>
      <c r="Y989" s="54">
        <v>980</v>
      </c>
      <c r="Z989" s="70">
        <v>46371.55</v>
      </c>
      <c r="AA989" s="75">
        <v>9210</v>
      </c>
      <c r="AB989" s="75">
        <v>7632.54</v>
      </c>
      <c r="AC989" s="75">
        <v>77173.460000000006</v>
      </c>
      <c r="AD989" s="194">
        <v>325832.5</v>
      </c>
      <c r="AE989" s="194">
        <v>7240.3</v>
      </c>
      <c r="AF989" s="76">
        <v>0.09</v>
      </c>
      <c r="AG989" s="70">
        <v>3223.5000000000009</v>
      </c>
      <c r="AH989" s="31"/>
    </row>
    <row r="990" spans="3:34" x14ac:dyDescent="0.25">
      <c r="C990" s="72"/>
      <c r="D990" s="54">
        <v>981</v>
      </c>
      <c r="E990" s="70">
        <v>44493.59</v>
      </c>
      <c r="F990" s="75">
        <v>5563</v>
      </c>
      <c r="G990" s="75">
        <v>88453</v>
      </c>
      <c r="H990" s="194">
        <v>329056</v>
      </c>
      <c r="I990" s="194">
        <v>12341.76</v>
      </c>
      <c r="J990" s="75">
        <v>81753.173721494197</v>
      </c>
      <c r="K990" s="73"/>
      <c r="M990" s="72"/>
      <c r="N990" s="54">
        <v>981</v>
      </c>
      <c r="O990" s="70">
        <v>49379.897500000021</v>
      </c>
      <c r="P990" s="75">
        <v>10409</v>
      </c>
      <c r="Q990" s="75">
        <v>83607</v>
      </c>
      <c r="R990" s="194">
        <v>327780.89750000002</v>
      </c>
      <c r="S990" s="194">
        <v>6180.35</v>
      </c>
      <c r="T990" s="70">
        <v>1275.1025000000006</v>
      </c>
      <c r="U990" s="80">
        <v>81753.173721494197</v>
      </c>
      <c r="V990" s="73"/>
      <c r="X990" s="30"/>
      <c r="Y990" s="54">
        <v>981</v>
      </c>
      <c r="Z990" s="70">
        <v>59721.250000000015</v>
      </c>
      <c r="AA990" s="75">
        <v>11723</v>
      </c>
      <c r="AB990" s="75">
        <v>6910.4800000000005</v>
      </c>
      <c r="AC990" s="75">
        <v>79470.52</v>
      </c>
      <c r="AD990" s="194">
        <v>339260.95</v>
      </c>
      <c r="AE990" s="194">
        <v>7319.05</v>
      </c>
      <c r="AF990" s="76">
        <v>0.08</v>
      </c>
      <c r="AG990" s="70">
        <v>4103.0500000000011</v>
      </c>
      <c r="AH990" s="31"/>
    </row>
    <row r="991" spans="3:34" x14ac:dyDescent="0.25">
      <c r="C991" s="72"/>
      <c r="D991" s="54">
        <v>982</v>
      </c>
      <c r="E991" s="70">
        <v>30635.27</v>
      </c>
      <c r="F991" s="75">
        <v>7172</v>
      </c>
      <c r="G991" s="75">
        <v>82756</v>
      </c>
      <c r="H991" s="194">
        <v>314748</v>
      </c>
      <c r="I991" s="194">
        <v>11892.08</v>
      </c>
      <c r="J991" s="75">
        <v>81753.173721494197</v>
      </c>
      <c r="K991" s="73"/>
      <c r="M991" s="72"/>
      <c r="N991" s="54">
        <v>982</v>
      </c>
      <c r="O991" s="70">
        <v>49190.020000000004</v>
      </c>
      <c r="P991" s="75">
        <v>13028</v>
      </c>
      <c r="Q991" s="75">
        <v>80988</v>
      </c>
      <c r="R991" s="194">
        <v>327460.07</v>
      </c>
      <c r="S991" s="194">
        <v>6049.4</v>
      </c>
      <c r="T991" s="70">
        <v>1595.9300000000007</v>
      </c>
      <c r="U991" s="80">
        <v>81753.173721494197</v>
      </c>
      <c r="V991" s="73"/>
      <c r="X991" s="30"/>
      <c r="Y991" s="54">
        <v>982</v>
      </c>
      <c r="Z991" s="70">
        <v>88265.199999999983</v>
      </c>
      <c r="AA991" s="75">
        <v>10589</v>
      </c>
      <c r="AB991" s="75">
        <v>7655.2</v>
      </c>
      <c r="AC991" s="75">
        <v>88034.8</v>
      </c>
      <c r="AD991" s="194">
        <v>368270.35</v>
      </c>
      <c r="AE991" s="194">
        <v>7784.5</v>
      </c>
      <c r="AF991" s="76">
        <v>0.08</v>
      </c>
      <c r="AG991" s="70">
        <v>3706.150000000001</v>
      </c>
      <c r="AH991" s="31"/>
    </row>
    <row r="992" spans="3:34" x14ac:dyDescent="0.25">
      <c r="C992" s="72"/>
      <c r="D992" s="54">
        <v>983</v>
      </c>
      <c r="E992" s="70">
        <v>58351.91</v>
      </c>
      <c r="F992" s="75">
        <v>4924</v>
      </c>
      <c r="G992" s="75">
        <v>93180</v>
      </c>
      <c r="H992" s="194">
        <v>343364</v>
      </c>
      <c r="I992" s="194">
        <v>12791.44</v>
      </c>
      <c r="J992" s="75">
        <v>81753.173721494197</v>
      </c>
      <c r="K992" s="73"/>
      <c r="M992" s="72"/>
      <c r="N992" s="54">
        <v>983</v>
      </c>
      <c r="O992" s="70">
        <v>35045.384999999987</v>
      </c>
      <c r="P992" s="75">
        <v>13594</v>
      </c>
      <c r="Q992" s="75">
        <v>76334</v>
      </c>
      <c r="R992" s="194">
        <v>313082.73499999999</v>
      </c>
      <c r="S992" s="194">
        <v>5816.7000000000007</v>
      </c>
      <c r="T992" s="70">
        <v>1665.2650000000008</v>
      </c>
      <c r="U992" s="80">
        <v>81753.173721494197</v>
      </c>
      <c r="V992" s="73"/>
      <c r="X992" s="30"/>
      <c r="Y992" s="54">
        <v>983</v>
      </c>
      <c r="Z992" s="70">
        <v>60017.049999999988</v>
      </c>
      <c r="AA992" s="75">
        <v>10737</v>
      </c>
      <c r="AB992" s="75">
        <v>8736.7000000000007</v>
      </c>
      <c r="AC992" s="75">
        <v>78630.3</v>
      </c>
      <c r="AD992" s="194">
        <v>339606.05</v>
      </c>
      <c r="AE992" s="194">
        <v>7368.35</v>
      </c>
      <c r="AF992" s="76">
        <v>0.1</v>
      </c>
      <c r="AG992" s="70">
        <v>3757.9500000000007</v>
      </c>
      <c r="AH992" s="31"/>
    </row>
    <row r="993" spans="3:34" x14ac:dyDescent="0.25">
      <c r="C993" s="72"/>
      <c r="D993" s="54">
        <v>984</v>
      </c>
      <c r="E993" s="70">
        <v>30635.27</v>
      </c>
      <c r="F993" s="75">
        <v>8843</v>
      </c>
      <c r="G993" s="75">
        <v>81085</v>
      </c>
      <c r="H993" s="194">
        <v>314748</v>
      </c>
      <c r="I993" s="194">
        <v>11892.08</v>
      </c>
      <c r="J993" s="75">
        <v>81753.173721494197</v>
      </c>
      <c r="K993" s="73"/>
      <c r="M993" s="72"/>
      <c r="N993" s="54">
        <v>984</v>
      </c>
      <c r="O993" s="70">
        <v>35055.245000000017</v>
      </c>
      <c r="P993" s="75">
        <v>13458</v>
      </c>
      <c r="Q993" s="75">
        <v>76470</v>
      </c>
      <c r="R993" s="194">
        <v>313099.39500000002</v>
      </c>
      <c r="S993" s="194">
        <v>5823.5</v>
      </c>
      <c r="T993" s="70">
        <v>1648.6050000000007</v>
      </c>
      <c r="U993" s="80">
        <v>81753.173721494197</v>
      </c>
      <c r="V993" s="73"/>
      <c r="X993" s="30"/>
      <c r="Y993" s="54">
        <v>984</v>
      </c>
      <c r="Z993" s="70">
        <v>31509.55000000001</v>
      </c>
      <c r="AA993" s="75">
        <v>11738</v>
      </c>
      <c r="AB993" s="75">
        <v>7819</v>
      </c>
      <c r="AC993" s="75">
        <v>70371</v>
      </c>
      <c r="AD993" s="194">
        <v>310639.7</v>
      </c>
      <c r="AE993" s="194">
        <v>6909.5</v>
      </c>
      <c r="AF993" s="76">
        <v>0.1</v>
      </c>
      <c r="AG993" s="70">
        <v>4108.3000000000011</v>
      </c>
      <c r="AH993" s="31"/>
    </row>
    <row r="994" spans="3:34" x14ac:dyDescent="0.25">
      <c r="C994" s="72"/>
      <c r="D994" s="54">
        <v>985</v>
      </c>
      <c r="E994" s="70">
        <v>44493.59</v>
      </c>
      <c r="F994" s="75">
        <v>8428</v>
      </c>
      <c r="G994" s="75">
        <v>85588</v>
      </c>
      <c r="H994" s="194">
        <v>329056</v>
      </c>
      <c r="I994" s="194">
        <v>12341.76</v>
      </c>
      <c r="J994" s="75">
        <v>81753.173721494197</v>
      </c>
      <c r="K994" s="73"/>
      <c r="M994" s="72"/>
      <c r="N994" s="54">
        <v>985</v>
      </c>
      <c r="O994" s="70">
        <v>63238.374999999978</v>
      </c>
      <c r="P994" s="75">
        <v>13790</v>
      </c>
      <c r="Q994" s="75">
        <v>84314</v>
      </c>
      <c r="R994" s="194">
        <v>341674.72499999998</v>
      </c>
      <c r="S994" s="194">
        <v>6215.7</v>
      </c>
      <c r="T994" s="70">
        <v>1689.2750000000008</v>
      </c>
      <c r="U994" s="80">
        <v>81753.173721494197</v>
      </c>
      <c r="V994" s="73"/>
      <c r="X994" s="30"/>
      <c r="Y994" s="54">
        <v>985</v>
      </c>
      <c r="Z994" s="70">
        <v>59998.449999999975</v>
      </c>
      <c r="AA994" s="75">
        <v>10799</v>
      </c>
      <c r="AB994" s="75">
        <v>4365.25</v>
      </c>
      <c r="AC994" s="75">
        <v>82939.75</v>
      </c>
      <c r="AD994" s="194">
        <v>339584.35</v>
      </c>
      <c r="AE994" s="194">
        <v>7365.25</v>
      </c>
      <c r="AF994" s="76">
        <v>0.05</v>
      </c>
      <c r="AG994" s="70">
        <v>3779.650000000001</v>
      </c>
      <c r="AH994" s="31"/>
    </row>
    <row r="995" spans="3:34" x14ac:dyDescent="0.25">
      <c r="C995" s="72"/>
      <c r="D995" s="54">
        <v>986</v>
      </c>
      <c r="E995" s="70">
        <v>44493.59</v>
      </c>
      <c r="F995" s="75">
        <v>8269</v>
      </c>
      <c r="G995" s="75">
        <v>85747</v>
      </c>
      <c r="H995" s="194">
        <v>329056</v>
      </c>
      <c r="I995" s="194">
        <v>12341.76</v>
      </c>
      <c r="J995" s="75">
        <v>81753.173721494197</v>
      </c>
      <c r="K995" s="73"/>
      <c r="M995" s="72"/>
      <c r="N995" s="54">
        <v>986</v>
      </c>
      <c r="O995" s="70">
        <v>49245.482499999969</v>
      </c>
      <c r="P995" s="75">
        <v>12263</v>
      </c>
      <c r="Q995" s="75">
        <v>81753</v>
      </c>
      <c r="R995" s="194">
        <v>327553.78249999997</v>
      </c>
      <c r="S995" s="194">
        <v>6087.65</v>
      </c>
      <c r="T995" s="70">
        <v>1502.2175000000007</v>
      </c>
      <c r="U995" s="80">
        <v>81753.173721494197</v>
      </c>
      <c r="V995" s="73"/>
      <c r="X995" s="30"/>
      <c r="Y995" s="54">
        <v>986</v>
      </c>
      <c r="Z995" s="70">
        <v>86963.500000000015</v>
      </c>
      <c r="AA995" s="75">
        <v>14928</v>
      </c>
      <c r="AB995" s="75">
        <v>8221.59</v>
      </c>
      <c r="AC995" s="75">
        <v>83129.41</v>
      </c>
      <c r="AD995" s="194">
        <v>366751.7</v>
      </c>
      <c r="AE995" s="194">
        <v>7567.55</v>
      </c>
      <c r="AF995" s="76">
        <v>0.09</v>
      </c>
      <c r="AG995" s="70">
        <v>5224.8000000000011</v>
      </c>
      <c r="AH995" s="31"/>
    </row>
    <row r="996" spans="3:34" x14ac:dyDescent="0.25">
      <c r="C996" s="72"/>
      <c r="D996" s="54">
        <v>987</v>
      </c>
      <c r="E996" s="70">
        <v>44493.59</v>
      </c>
      <c r="F996" s="75">
        <v>4585</v>
      </c>
      <c r="G996" s="75">
        <v>89431</v>
      </c>
      <c r="H996" s="194">
        <v>329056</v>
      </c>
      <c r="I996" s="194">
        <v>12341.76</v>
      </c>
      <c r="J996" s="75">
        <v>81753.173721494197</v>
      </c>
      <c r="K996" s="73"/>
      <c r="M996" s="72"/>
      <c r="N996" s="54">
        <v>987</v>
      </c>
      <c r="O996" s="70">
        <v>49388.089999999989</v>
      </c>
      <c r="P996" s="75">
        <v>10296</v>
      </c>
      <c r="Q996" s="75">
        <v>83720</v>
      </c>
      <c r="R996" s="194">
        <v>327794.74</v>
      </c>
      <c r="S996" s="194">
        <v>6186</v>
      </c>
      <c r="T996" s="70">
        <v>1261.2600000000004</v>
      </c>
      <c r="U996" s="80">
        <v>81753.173721494197</v>
      </c>
      <c r="V996" s="73"/>
      <c r="X996" s="30"/>
      <c r="Y996" s="54">
        <v>987</v>
      </c>
      <c r="Z996" s="70">
        <v>45228.55</v>
      </c>
      <c r="AA996" s="75">
        <v>13020</v>
      </c>
      <c r="AB996" s="75">
        <v>4859.76</v>
      </c>
      <c r="AC996" s="75">
        <v>76136.240000000005</v>
      </c>
      <c r="AD996" s="194">
        <v>324499</v>
      </c>
      <c r="AE996" s="194">
        <v>7049.8</v>
      </c>
      <c r="AF996" s="76">
        <v>0.06</v>
      </c>
      <c r="AG996" s="70">
        <v>4557.0000000000009</v>
      </c>
      <c r="AH996" s="31"/>
    </row>
    <row r="997" spans="3:34" x14ac:dyDescent="0.25">
      <c r="C997" s="72"/>
      <c r="D997" s="54">
        <v>988</v>
      </c>
      <c r="E997" s="70">
        <v>30635.27</v>
      </c>
      <c r="F997" s="75">
        <v>5398</v>
      </c>
      <c r="G997" s="75">
        <v>84530</v>
      </c>
      <c r="H997" s="194">
        <v>314748</v>
      </c>
      <c r="I997" s="194">
        <v>11892.08</v>
      </c>
      <c r="J997" s="75">
        <v>81753.173721494197</v>
      </c>
      <c r="K997" s="73"/>
      <c r="M997" s="72"/>
      <c r="N997" s="54">
        <v>988</v>
      </c>
      <c r="O997" s="70">
        <v>49305.294999999969</v>
      </c>
      <c r="P997" s="75">
        <v>11438</v>
      </c>
      <c r="Q997" s="75">
        <v>82578</v>
      </c>
      <c r="R997" s="194">
        <v>327654.84499999997</v>
      </c>
      <c r="S997" s="194">
        <v>6128.9000000000005</v>
      </c>
      <c r="T997" s="70">
        <v>1401.1550000000007</v>
      </c>
      <c r="U997" s="80">
        <v>81753.173721494197</v>
      </c>
      <c r="V997" s="73"/>
      <c r="X997" s="30"/>
      <c r="Y997" s="54">
        <v>988</v>
      </c>
      <c r="Z997" s="70">
        <v>59420.65</v>
      </c>
      <c r="AA997" s="75">
        <v>12725</v>
      </c>
      <c r="AB997" s="75">
        <v>5122.74</v>
      </c>
      <c r="AC997" s="75">
        <v>80256.259999999995</v>
      </c>
      <c r="AD997" s="194">
        <v>338910.25</v>
      </c>
      <c r="AE997" s="194">
        <v>7268.95</v>
      </c>
      <c r="AF997" s="76">
        <v>0.06</v>
      </c>
      <c r="AG997" s="70">
        <v>4453.7500000000009</v>
      </c>
      <c r="AH997" s="31"/>
    </row>
    <row r="998" spans="3:34" x14ac:dyDescent="0.25">
      <c r="C998" s="72"/>
      <c r="D998" s="54">
        <v>989</v>
      </c>
      <c r="E998" s="70">
        <v>44493.59</v>
      </c>
      <c r="F998" s="75">
        <v>6583</v>
      </c>
      <c r="G998" s="75">
        <v>87433</v>
      </c>
      <c r="H998" s="194">
        <v>329056</v>
      </c>
      <c r="I998" s="194">
        <v>12341.76</v>
      </c>
      <c r="J998" s="75">
        <v>81753.173721494197</v>
      </c>
      <c r="K998" s="73"/>
      <c r="M998" s="72"/>
      <c r="N998" s="54">
        <v>989</v>
      </c>
      <c r="O998" s="70">
        <v>91445.749999999971</v>
      </c>
      <c r="P998" s="75">
        <v>13740</v>
      </c>
      <c r="Q998" s="75">
        <v>92539</v>
      </c>
      <c r="R998" s="194">
        <v>370293.35</v>
      </c>
      <c r="S998" s="194">
        <v>6626.95</v>
      </c>
      <c r="T998" s="70">
        <v>1683.1500000000008</v>
      </c>
      <c r="U998" s="80">
        <v>81753.173721494197</v>
      </c>
      <c r="V998" s="73"/>
      <c r="X998" s="30"/>
      <c r="Y998" s="54">
        <v>989</v>
      </c>
      <c r="Z998" s="70">
        <v>59107.449999999975</v>
      </c>
      <c r="AA998" s="75">
        <v>13769</v>
      </c>
      <c r="AB998" s="75">
        <v>7590.15</v>
      </c>
      <c r="AC998" s="75">
        <v>76744.850000000006</v>
      </c>
      <c r="AD998" s="194">
        <v>338544.85</v>
      </c>
      <c r="AE998" s="194">
        <v>7216.75</v>
      </c>
      <c r="AF998" s="76">
        <v>0.09</v>
      </c>
      <c r="AG998" s="70">
        <v>4819.1500000000015</v>
      </c>
      <c r="AH998" s="31"/>
    </row>
    <row r="999" spans="3:34" x14ac:dyDescent="0.25">
      <c r="C999" s="72"/>
      <c r="D999" s="54">
        <v>990</v>
      </c>
      <c r="E999" s="70">
        <v>44493.59</v>
      </c>
      <c r="F999" s="75">
        <v>5648</v>
      </c>
      <c r="G999" s="75">
        <v>88368</v>
      </c>
      <c r="H999" s="194">
        <v>329056</v>
      </c>
      <c r="I999" s="194">
        <v>12341.76</v>
      </c>
      <c r="J999" s="75">
        <v>81753.173721494197</v>
      </c>
      <c r="K999" s="73"/>
      <c r="M999" s="72"/>
      <c r="N999" s="54">
        <v>990</v>
      </c>
      <c r="O999" s="70">
        <v>49119.477500000001</v>
      </c>
      <c r="P999" s="75">
        <v>14001</v>
      </c>
      <c r="Q999" s="75">
        <v>80015</v>
      </c>
      <c r="R999" s="194">
        <v>327340.8775</v>
      </c>
      <c r="S999" s="194">
        <v>6000.75</v>
      </c>
      <c r="T999" s="70">
        <v>1715.1225000000009</v>
      </c>
      <c r="U999" s="80">
        <v>81753.173721494197</v>
      </c>
      <c r="V999" s="73"/>
      <c r="X999" s="30"/>
      <c r="Y999" s="54">
        <v>990</v>
      </c>
      <c r="Z999" s="70">
        <v>45486.849999999977</v>
      </c>
      <c r="AA999" s="75">
        <v>12159</v>
      </c>
      <c r="AB999" s="75">
        <v>4092.8500000000004</v>
      </c>
      <c r="AC999" s="75">
        <v>77764.149999999994</v>
      </c>
      <c r="AD999" s="194">
        <v>324800.34999999998</v>
      </c>
      <c r="AE999" s="194">
        <v>7092.85</v>
      </c>
      <c r="AF999" s="76">
        <v>0.05</v>
      </c>
      <c r="AG999" s="70">
        <v>4255.6500000000015</v>
      </c>
      <c r="AH999" s="31"/>
    </row>
    <row r="1000" spans="3:34" x14ac:dyDescent="0.25">
      <c r="C1000" s="72"/>
      <c r="D1000" s="54">
        <v>991</v>
      </c>
      <c r="E1000" s="70">
        <v>44493.59</v>
      </c>
      <c r="F1000" s="75">
        <v>7439</v>
      </c>
      <c r="G1000" s="75">
        <v>86577</v>
      </c>
      <c r="H1000" s="194">
        <v>329056</v>
      </c>
      <c r="I1000" s="194">
        <v>12341.76</v>
      </c>
      <c r="J1000" s="75">
        <v>81753.173721494197</v>
      </c>
      <c r="K1000" s="73"/>
      <c r="M1000" s="72"/>
      <c r="N1000" s="54">
        <v>991</v>
      </c>
      <c r="O1000" s="70">
        <v>63301.159999999996</v>
      </c>
      <c r="P1000" s="75">
        <v>12924</v>
      </c>
      <c r="Q1000" s="75">
        <v>85180</v>
      </c>
      <c r="R1000" s="194">
        <v>341780.81</v>
      </c>
      <c r="S1000" s="194">
        <v>6259</v>
      </c>
      <c r="T1000" s="70">
        <v>1583.1900000000007</v>
      </c>
      <c r="U1000" s="80">
        <v>81753.173721494197</v>
      </c>
      <c r="V1000" s="73"/>
      <c r="X1000" s="30"/>
      <c r="Y1000" s="54">
        <v>991</v>
      </c>
      <c r="Z1000" s="70">
        <v>58783.15</v>
      </c>
      <c r="AA1000" s="75">
        <v>14850</v>
      </c>
      <c r="AB1000" s="75">
        <v>7492.86</v>
      </c>
      <c r="AC1000" s="75">
        <v>75761.14</v>
      </c>
      <c r="AD1000" s="194">
        <v>338166.5</v>
      </c>
      <c r="AE1000" s="194">
        <v>7162.7</v>
      </c>
      <c r="AF1000" s="76">
        <v>0.09</v>
      </c>
      <c r="AG1000" s="70">
        <v>5197.5000000000009</v>
      </c>
      <c r="AH1000" s="31"/>
    </row>
    <row r="1001" spans="3:34" x14ac:dyDescent="0.25">
      <c r="C1001" s="72"/>
      <c r="D1001" s="54">
        <v>992</v>
      </c>
      <c r="E1001" s="70">
        <v>44493.59</v>
      </c>
      <c r="F1001" s="75">
        <v>6429</v>
      </c>
      <c r="G1001" s="75">
        <v>87587</v>
      </c>
      <c r="H1001" s="194">
        <v>329056</v>
      </c>
      <c r="I1001" s="194">
        <v>12341.76</v>
      </c>
      <c r="J1001" s="75">
        <v>81753.173721494197</v>
      </c>
      <c r="K1001" s="73"/>
      <c r="M1001" s="72"/>
      <c r="N1001" s="54">
        <v>992</v>
      </c>
      <c r="O1001" s="70">
        <v>35061.407499999994</v>
      </c>
      <c r="P1001" s="75">
        <v>13373</v>
      </c>
      <c r="Q1001" s="75">
        <v>76555</v>
      </c>
      <c r="R1001" s="194">
        <v>313109.8075</v>
      </c>
      <c r="S1001" s="194">
        <v>5827.75</v>
      </c>
      <c r="T1001" s="70">
        <v>1638.1925000000008</v>
      </c>
      <c r="U1001" s="80">
        <v>81753.173721494197</v>
      </c>
      <c r="V1001" s="73"/>
      <c r="X1001" s="30"/>
      <c r="Y1001" s="54">
        <v>992</v>
      </c>
      <c r="Z1001" s="70">
        <v>59672.949999999975</v>
      </c>
      <c r="AA1001" s="75">
        <v>11884</v>
      </c>
      <c r="AB1001" s="75">
        <v>6897.6</v>
      </c>
      <c r="AC1001" s="75">
        <v>79322.399999999994</v>
      </c>
      <c r="AD1001" s="194">
        <v>339204.6</v>
      </c>
      <c r="AE1001" s="194">
        <v>7311</v>
      </c>
      <c r="AF1001" s="76">
        <v>0.08</v>
      </c>
      <c r="AG1001" s="70">
        <v>4159.4000000000015</v>
      </c>
      <c r="AH1001" s="31"/>
    </row>
    <row r="1002" spans="3:34" x14ac:dyDescent="0.25">
      <c r="C1002" s="72"/>
      <c r="D1002" s="54">
        <v>993</v>
      </c>
      <c r="E1002" s="70">
        <v>58351.91</v>
      </c>
      <c r="F1002" s="75">
        <v>5843</v>
      </c>
      <c r="G1002" s="75">
        <v>92261</v>
      </c>
      <c r="H1002" s="194">
        <v>343364</v>
      </c>
      <c r="I1002" s="194">
        <v>12791.44</v>
      </c>
      <c r="J1002" s="75">
        <v>81753.173721494197</v>
      </c>
      <c r="K1002" s="73"/>
      <c r="M1002" s="72"/>
      <c r="N1002" s="54">
        <v>993</v>
      </c>
      <c r="O1002" s="70">
        <v>49246.062500000015</v>
      </c>
      <c r="P1002" s="75">
        <v>12255</v>
      </c>
      <c r="Q1002" s="75">
        <v>81761</v>
      </c>
      <c r="R1002" s="194">
        <v>327554.76250000001</v>
      </c>
      <c r="S1002" s="194">
        <v>6088.05</v>
      </c>
      <c r="T1002" s="70">
        <v>1501.2375000000006</v>
      </c>
      <c r="U1002" s="80">
        <v>81753.173721494197</v>
      </c>
      <c r="V1002" s="73"/>
      <c r="X1002" s="30"/>
      <c r="Y1002" s="54">
        <v>993</v>
      </c>
      <c r="Z1002" s="70">
        <v>31244.95</v>
      </c>
      <c r="AA1002" s="75">
        <v>12620</v>
      </c>
      <c r="AB1002" s="75">
        <v>3865.4</v>
      </c>
      <c r="AC1002" s="75">
        <v>73442.600000000006</v>
      </c>
      <c r="AD1002" s="194">
        <v>310331</v>
      </c>
      <c r="AE1002" s="194">
        <v>6865.4</v>
      </c>
      <c r="AF1002" s="76">
        <v>0.05</v>
      </c>
      <c r="AG1002" s="70">
        <v>4417.0000000000009</v>
      </c>
      <c r="AH1002" s="31"/>
    </row>
    <row r="1003" spans="3:34" x14ac:dyDescent="0.25">
      <c r="C1003" s="72"/>
      <c r="D1003" s="54">
        <v>994</v>
      </c>
      <c r="E1003" s="70">
        <v>86065.16</v>
      </c>
      <c r="F1003" s="75">
        <v>10719</v>
      </c>
      <c r="G1003" s="75">
        <v>95560</v>
      </c>
      <c r="H1003" s="194">
        <v>371976.5</v>
      </c>
      <c r="I1003" s="194">
        <v>13690.69</v>
      </c>
      <c r="J1003" s="75">
        <v>81753.173721494197</v>
      </c>
      <c r="K1003" s="73"/>
      <c r="M1003" s="72"/>
      <c r="N1003" s="54">
        <v>994</v>
      </c>
      <c r="O1003" s="70">
        <v>49317.402499999989</v>
      </c>
      <c r="P1003" s="75">
        <v>11271</v>
      </c>
      <c r="Q1003" s="75">
        <v>82745</v>
      </c>
      <c r="R1003" s="194">
        <v>327675.30249999999</v>
      </c>
      <c r="S1003" s="194">
        <v>6137.25</v>
      </c>
      <c r="T1003" s="70">
        <v>1380.6975000000007</v>
      </c>
      <c r="U1003" s="80">
        <v>81753.173721494197</v>
      </c>
      <c r="V1003" s="73"/>
      <c r="X1003" s="30"/>
      <c r="Y1003" s="54">
        <v>994</v>
      </c>
      <c r="Z1003" s="70">
        <v>46357.44999999999</v>
      </c>
      <c r="AA1003" s="75">
        <v>9257</v>
      </c>
      <c r="AB1003" s="75">
        <v>7628.3099999999995</v>
      </c>
      <c r="AC1003" s="75">
        <v>77130.69</v>
      </c>
      <c r="AD1003" s="194">
        <v>325816.05</v>
      </c>
      <c r="AE1003" s="194">
        <v>7237.95</v>
      </c>
      <c r="AF1003" s="76">
        <v>0.09</v>
      </c>
      <c r="AG1003" s="70">
        <v>3239.9500000000007</v>
      </c>
      <c r="AH1003" s="31"/>
    </row>
    <row r="1004" spans="3:34" x14ac:dyDescent="0.25">
      <c r="C1004" s="72"/>
      <c r="D1004" s="54">
        <v>995</v>
      </c>
      <c r="E1004" s="70">
        <v>86065.16</v>
      </c>
      <c r="F1004" s="75">
        <v>7467</v>
      </c>
      <c r="G1004" s="75">
        <v>98812</v>
      </c>
      <c r="H1004" s="194">
        <v>371976.5</v>
      </c>
      <c r="I1004" s="194">
        <v>13690.69</v>
      </c>
      <c r="J1004" s="75">
        <v>81753.173721494197</v>
      </c>
      <c r="K1004" s="73"/>
      <c r="M1004" s="72"/>
      <c r="N1004" s="54">
        <v>995</v>
      </c>
      <c r="O1004" s="70">
        <v>49442.89999999998</v>
      </c>
      <c r="P1004" s="75">
        <v>9540</v>
      </c>
      <c r="Q1004" s="75">
        <v>84476</v>
      </c>
      <c r="R1004" s="194">
        <v>327887.34999999998</v>
      </c>
      <c r="S1004" s="194">
        <v>6223.8</v>
      </c>
      <c r="T1004" s="70">
        <v>1168.6500000000005</v>
      </c>
      <c r="U1004" s="80">
        <v>81753.173721494197</v>
      </c>
      <c r="V1004" s="73"/>
      <c r="X1004" s="30"/>
      <c r="Y1004" s="54">
        <v>995</v>
      </c>
      <c r="Z1004" s="70">
        <v>60248.35000000002</v>
      </c>
      <c r="AA1004" s="75">
        <v>9966</v>
      </c>
      <c r="AB1004" s="75">
        <v>7051.04</v>
      </c>
      <c r="AC1004" s="75">
        <v>81086.960000000006</v>
      </c>
      <c r="AD1004" s="194">
        <v>339875.9</v>
      </c>
      <c r="AE1004" s="194">
        <v>7406.9000000000005</v>
      </c>
      <c r="AF1004" s="76">
        <v>0.08</v>
      </c>
      <c r="AG1004" s="70">
        <v>3488.1000000000008</v>
      </c>
      <c r="AH1004" s="31"/>
    </row>
    <row r="1005" spans="3:34" x14ac:dyDescent="0.25">
      <c r="C1005" s="72"/>
      <c r="D1005" s="54">
        <v>996</v>
      </c>
      <c r="E1005" s="70">
        <v>86065.16</v>
      </c>
      <c r="F1005" s="75">
        <v>5319</v>
      </c>
      <c r="G1005" s="75">
        <v>100960</v>
      </c>
      <c r="H1005" s="194">
        <v>371976.5</v>
      </c>
      <c r="I1005" s="194">
        <v>13690.69</v>
      </c>
      <c r="J1005" s="75">
        <v>81753.173721494197</v>
      </c>
      <c r="K1005" s="73"/>
      <c r="M1005" s="72"/>
      <c r="N1005" s="54">
        <v>996</v>
      </c>
      <c r="O1005" s="70">
        <v>49179.797499999986</v>
      </c>
      <c r="P1005" s="75">
        <v>13169</v>
      </c>
      <c r="Q1005" s="75">
        <v>80847</v>
      </c>
      <c r="R1005" s="194">
        <v>327442.79749999999</v>
      </c>
      <c r="S1005" s="194">
        <v>6042.35</v>
      </c>
      <c r="T1005" s="70">
        <v>1613.2025000000008</v>
      </c>
      <c r="U1005" s="80">
        <v>81753.173721494197</v>
      </c>
      <c r="V1005" s="73"/>
      <c r="X1005" s="30"/>
      <c r="Y1005" s="54">
        <v>996</v>
      </c>
      <c r="Z1005" s="70">
        <v>59689.750000000015</v>
      </c>
      <c r="AA1005" s="75">
        <v>11828</v>
      </c>
      <c r="AB1005" s="75">
        <v>6902.08</v>
      </c>
      <c r="AC1005" s="75">
        <v>79373.919999999998</v>
      </c>
      <c r="AD1005" s="194">
        <v>339224.2</v>
      </c>
      <c r="AE1005" s="194">
        <v>7313.8</v>
      </c>
      <c r="AF1005" s="76">
        <v>0.08</v>
      </c>
      <c r="AG1005" s="70">
        <v>4139.8000000000011</v>
      </c>
      <c r="AH1005" s="31"/>
    </row>
    <row r="1006" spans="3:34" x14ac:dyDescent="0.25">
      <c r="C1006" s="72"/>
      <c r="D1006" s="54">
        <v>997</v>
      </c>
      <c r="E1006" s="70">
        <v>58351.91</v>
      </c>
      <c r="F1006" s="75">
        <v>9810</v>
      </c>
      <c r="G1006" s="75">
        <v>88294</v>
      </c>
      <c r="H1006" s="194">
        <v>343364</v>
      </c>
      <c r="I1006" s="194">
        <v>12791.44</v>
      </c>
      <c r="J1006" s="75">
        <v>81753.173721494197</v>
      </c>
      <c r="K1006" s="73"/>
      <c r="M1006" s="72"/>
      <c r="N1006" s="54">
        <v>997</v>
      </c>
      <c r="O1006" s="70">
        <v>49250.194999999992</v>
      </c>
      <c r="P1006" s="75">
        <v>12198</v>
      </c>
      <c r="Q1006" s="75">
        <v>81818</v>
      </c>
      <c r="R1006" s="194">
        <v>327561.745</v>
      </c>
      <c r="S1006" s="194">
        <v>6090.9</v>
      </c>
      <c r="T1006" s="70">
        <v>1494.2550000000006</v>
      </c>
      <c r="U1006" s="80">
        <v>81753.173721494197</v>
      </c>
      <c r="V1006" s="73"/>
      <c r="X1006" s="30"/>
      <c r="Y1006" s="54">
        <v>997</v>
      </c>
      <c r="Z1006" s="70">
        <v>87310.000000000015</v>
      </c>
      <c r="AA1006" s="75">
        <v>13773</v>
      </c>
      <c r="AB1006" s="75">
        <v>6475.420000000001</v>
      </c>
      <c r="AC1006" s="75">
        <v>86030.58</v>
      </c>
      <c r="AD1006" s="194">
        <v>367155.95</v>
      </c>
      <c r="AE1006" s="194">
        <v>7625.3</v>
      </c>
      <c r="AF1006" s="76">
        <v>7.0000000000000007E-2</v>
      </c>
      <c r="AG1006" s="70">
        <v>4820.5500000000011</v>
      </c>
      <c r="AH1006" s="31"/>
    </row>
    <row r="1007" spans="3:34" x14ac:dyDescent="0.25">
      <c r="C1007" s="72"/>
      <c r="D1007" s="54">
        <v>998</v>
      </c>
      <c r="E1007" s="70">
        <v>30635.27</v>
      </c>
      <c r="F1007" s="75">
        <v>9043</v>
      </c>
      <c r="G1007" s="75">
        <v>80885</v>
      </c>
      <c r="H1007" s="194">
        <v>314748</v>
      </c>
      <c r="I1007" s="194">
        <v>11892.08</v>
      </c>
      <c r="J1007" s="75">
        <v>81753.173721494197</v>
      </c>
      <c r="K1007" s="73"/>
      <c r="M1007" s="72"/>
      <c r="N1007" s="54">
        <v>998</v>
      </c>
      <c r="O1007" s="70">
        <v>63524.822499999973</v>
      </c>
      <c r="P1007" s="75">
        <v>9839</v>
      </c>
      <c r="Q1007" s="75">
        <v>88265</v>
      </c>
      <c r="R1007" s="194">
        <v>342158.72249999997</v>
      </c>
      <c r="S1007" s="194">
        <v>6413.25</v>
      </c>
      <c r="T1007" s="70">
        <v>1205.2775000000006</v>
      </c>
      <c r="U1007" s="80">
        <v>81753.173721494197</v>
      </c>
      <c r="V1007" s="73"/>
      <c r="X1007" s="30"/>
      <c r="Y1007" s="54">
        <v>998</v>
      </c>
      <c r="Z1007" s="70">
        <v>58788.85000000002</v>
      </c>
      <c r="AA1007" s="75">
        <v>14831</v>
      </c>
      <c r="AB1007" s="75">
        <v>4163.6500000000005</v>
      </c>
      <c r="AC1007" s="75">
        <v>79109.350000000006</v>
      </c>
      <c r="AD1007" s="194">
        <v>338173.15</v>
      </c>
      <c r="AE1007" s="194">
        <v>7163.6500000000005</v>
      </c>
      <c r="AF1007" s="76">
        <v>0.05</v>
      </c>
      <c r="AG1007" s="70">
        <v>5190.8500000000013</v>
      </c>
      <c r="AH1007" s="31"/>
    </row>
    <row r="1008" spans="3:34" x14ac:dyDescent="0.25">
      <c r="C1008" s="72"/>
      <c r="D1008" s="54">
        <v>999</v>
      </c>
      <c r="E1008" s="70">
        <v>44493.59</v>
      </c>
      <c r="F1008" s="75">
        <v>9341</v>
      </c>
      <c r="G1008" s="75">
        <v>84675</v>
      </c>
      <c r="H1008" s="194">
        <v>329056</v>
      </c>
      <c r="I1008" s="194">
        <v>12341.76</v>
      </c>
      <c r="J1008" s="75">
        <v>81753.173721494197</v>
      </c>
      <c r="K1008" s="73"/>
      <c r="M1008" s="72"/>
      <c r="N1008" s="54">
        <v>999</v>
      </c>
      <c r="O1008" s="70">
        <v>49255.415000000001</v>
      </c>
      <c r="P1008" s="75">
        <v>12126</v>
      </c>
      <c r="Q1008" s="75">
        <v>81890</v>
      </c>
      <c r="R1008" s="194">
        <v>327570.565</v>
      </c>
      <c r="S1008" s="194">
        <v>6094.5</v>
      </c>
      <c r="T1008" s="70">
        <v>1485.4350000000006</v>
      </c>
      <c r="U1008" s="80">
        <v>81753.173721494197</v>
      </c>
      <c r="V1008" s="73"/>
      <c r="X1008" s="30"/>
      <c r="Y1008" s="54">
        <v>999</v>
      </c>
      <c r="Z1008" s="70">
        <v>87292.60000000002</v>
      </c>
      <c r="AA1008" s="75">
        <v>13831</v>
      </c>
      <c r="AB1008" s="75">
        <v>8320.32</v>
      </c>
      <c r="AC1008" s="75">
        <v>84127.679999999993</v>
      </c>
      <c r="AD1008" s="194">
        <v>367135.65</v>
      </c>
      <c r="AE1008" s="194">
        <v>7622.4000000000005</v>
      </c>
      <c r="AF1008" s="76">
        <v>0.09</v>
      </c>
      <c r="AG1008" s="70">
        <v>4840.8500000000013</v>
      </c>
      <c r="AH1008" s="31"/>
    </row>
    <row r="1009" spans="3:34" x14ac:dyDescent="0.25">
      <c r="C1009" s="72"/>
      <c r="D1009" s="54">
        <v>1000</v>
      </c>
      <c r="E1009" s="70">
        <v>44493.59</v>
      </c>
      <c r="F1009" s="75">
        <v>8422</v>
      </c>
      <c r="G1009" s="75">
        <v>85594</v>
      </c>
      <c r="H1009" s="194">
        <v>329056</v>
      </c>
      <c r="I1009" s="194">
        <v>12341.76</v>
      </c>
      <c r="J1009" s="75">
        <v>81753.173721494197</v>
      </c>
      <c r="K1009" s="73"/>
      <c r="M1009" s="72"/>
      <c r="N1009" s="54">
        <v>1000</v>
      </c>
      <c r="O1009" s="70">
        <v>35184.512499999997</v>
      </c>
      <c r="P1009" s="75">
        <v>11675</v>
      </c>
      <c r="Q1009" s="75">
        <v>78253</v>
      </c>
      <c r="R1009" s="194">
        <v>313317.8125</v>
      </c>
      <c r="S1009" s="194">
        <v>5912.65</v>
      </c>
      <c r="T1009" s="70">
        <v>1430.1875000000007</v>
      </c>
      <c r="U1009" s="80">
        <v>81753.173721494197</v>
      </c>
      <c r="V1009" s="73"/>
      <c r="X1009" s="30"/>
      <c r="Y1009" s="54">
        <v>1000</v>
      </c>
      <c r="Z1009" s="70">
        <v>45426.849999999977</v>
      </c>
      <c r="AA1009" s="75">
        <v>12359</v>
      </c>
      <c r="AB1009" s="75">
        <v>4899.42</v>
      </c>
      <c r="AC1009" s="75">
        <v>76757.58</v>
      </c>
      <c r="AD1009" s="194">
        <v>324730.34999999998</v>
      </c>
      <c r="AE1009" s="194">
        <v>7082.85</v>
      </c>
      <c r="AF1009" s="76">
        <v>0.06</v>
      </c>
      <c r="AG1009" s="70">
        <v>4325.6500000000015</v>
      </c>
      <c r="AH1009" s="31"/>
    </row>
    <row r="1010" spans="3:34" ht="15.75" thickBot="1" x14ac:dyDescent="0.3">
      <c r="C1010" s="77"/>
      <c r="D1010" s="78"/>
      <c r="E1010" s="78"/>
      <c r="F1010" s="78"/>
      <c r="G1010" s="78"/>
      <c r="H1010" s="78"/>
      <c r="I1010" s="78"/>
      <c r="J1010" s="78"/>
      <c r="K1010" s="79"/>
      <c r="M1010" s="77"/>
      <c r="N1010" s="78"/>
      <c r="O1010" s="78"/>
      <c r="P1010" s="78"/>
      <c r="Q1010" s="78"/>
      <c r="R1010" s="78"/>
      <c r="S1010" s="78"/>
      <c r="T1010" s="78"/>
      <c r="U1010" s="78"/>
      <c r="V1010" s="79"/>
      <c r="X1010" s="61"/>
      <c r="Y1010" s="62"/>
      <c r="Z1010" s="62"/>
      <c r="AA1010" s="62"/>
      <c r="AB1010" s="62"/>
      <c r="AC1010" s="62"/>
      <c r="AD1010" s="62"/>
      <c r="AE1010" s="62"/>
      <c r="AF1010" s="62"/>
      <c r="AG1010" s="62"/>
      <c r="AH1010" s="63"/>
    </row>
  </sheetData>
  <mergeCells count="4">
    <mergeCell ref="B2:R2"/>
    <mergeCell ref="C6:K6"/>
    <mergeCell ref="M6:V6"/>
    <mergeCell ref="X6:AH6"/>
  </mergeCells>
  <pageMargins left="0.7" right="0.7" top="0.75" bottom="0.75" header="0.3" footer="0.3"/>
  <drawing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6680A0-B9FF-4988-91BB-414FAD94AFE7}">
  <sheetPr codeName="Sheet11"/>
  <dimension ref="A1:Q22"/>
  <sheetViews>
    <sheetView workbookViewId="0">
      <selection activeCell="P7" sqref="P7"/>
    </sheetView>
  </sheetViews>
  <sheetFormatPr defaultRowHeight="15" x14ac:dyDescent="0.25"/>
  <cols>
    <col min="1" max="1" width="9.7109375" customWidth="1"/>
    <col min="2" max="2" width="11.5703125" customWidth="1"/>
  </cols>
  <sheetData>
    <row r="1" spans="1:17" ht="15.75" thickBot="1" x14ac:dyDescent="0.3">
      <c r="A1" s="337" t="s">
        <v>131</v>
      </c>
      <c r="B1" s="337"/>
    </row>
    <row r="2" spans="1:17" x14ac:dyDescent="0.25">
      <c r="A2" t="s">
        <v>76</v>
      </c>
      <c r="B2" t="b">
        <v>1</v>
      </c>
      <c r="G2" s="333" t="s">
        <v>132</v>
      </c>
      <c r="H2" s="334"/>
      <c r="I2" s="334"/>
      <c r="J2" s="334"/>
      <c r="K2" s="334"/>
      <c r="L2" s="334"/>
      <c r="M2" s="334"/>
      <c r="N2" s="334"/>
      <c r="O2" s="334"/>
      <c r="P2" s="334"/>
      <c r="Q2" s="124"/>
    </row>
    <row r="3" spans="1:17" x14ac:dyDescent="0.25">
      <c r="A3" t="s">
        <v>77</v>
      </c>
      <c r="B3" t="b">
        <v>1</v>
      </c>
      <c r="G3" s="120"/>
      <c r="Q3" s="119"/>
    </row>
    <row r="4" spans="1:17" x14ac:dyDescent="0.25">
      <c r="G4" s="120"/>
      <c r="H4" t="s">
        <v>133</v>
      </c>
      <c r="K4" s="129" t="b">
        <f>IF(ISBLANK(Dashboard!AE10),TRUE,FALSE)</f>
        <v>1</v>
      </c>
      <c r="M4" s="335" t="s">
        <v>70</v>
      </c>
      <c r="N4" s="335"/>
      <c r="O4" s="335"/>
      <c r="P4" s="336" t="b">
        <v>1</v>
      </c>
      <c r="Q4" s="119"/>
    </row>
    <row r="5" spans="1:17" x14ac:dyDescent="0.25">
      <c r="A5" s="337" t="s">
        <v>134</v>
      </c>
      <c r="B5" s="337"/>
      <c r="G5" s="120"/>
      <c r="H5" t="s">
        <v>135</v>
      </c>
      <c r="K5" s="129" t="b">
        <f>IF(ISBLANK(Dashboard!AE11),TRUE,FALSE)</f>
        <v>1</v>
      </c>
      <c r="M5" s="335"/>
      <c r="N5" s="335"/>
      <c r="O5" s="335"/>
      <c r="P5" s="336"/>
      <c r="Q5" s="119"/>
    </row>
    <row r="6" spans="1:17" x14ac:dyDescent="0.25">
      <c r="A6" t="s">
        <v>136</v>
      </c>
      <c r="B6" t="s">
        <v>137</v>
      </c>
      <c r="G6" s="120"/>
      <c r="Q6" s="119"/>
    </row>
    <row r="7" spans="1:17" x14ac:dyDescent="0.25">
      <c r="G7" s="120"/>
      <c r="H7" t="s">
        <v>138</v>
      </c>
      <c r="K7" s="129" t="b">
        <f>IF(ISBLANK(Dashboard!AE13),TRUE,FALSE)</f>
        <v>0</v>
      </c>
      <c r="M7" t="s">
        <v>74</v>
      </c>
      <c r="P7" s="129" t="b">
        <f>ISBLANK(Dashboard!AJ13)</f>
        <v>1</v>
      </c>
      <c r="Q7" s="119"/>
    </row>
    <row r="8" spans="1:17" x14ac:dyDescent="0.25">
      <c r="A8" t="s">
        <v>139</v>
      </c>
      <c r="G8" s="120"/>
      <c r="Q8" s="119"/>
    </row>
    <row r="9" spans="1:17" x14ac:dyDescent="0.25">
      <c r="B9" t="s">
        <v>140</v>
      </c>
      <c r="C9" t="s">
        <v>141</v>
      </c>
      <c r="G9" s="120"/>
      <c r="H9" t="s">
        <v>75</v>
      </c>
      <c r="K9" s="129" t="str">
        <f>IF(B2,IF(B3,"B","H"),IF(B3,"C","N"))</f>
        <v>B</v>
      </c>
      <c r="Q9" s="119"/>
    </row>
    <row r="10" spans="1:17" x14ac:dyDescent="0.25">
      <c r="A10" s="8" t="s">
        <v>136</v>
      </c>
      <c r="B10" s="8">
        <f>Dashboard!G41</f>
        <v>4.3999999999999997E-2</v>
      </c>
      <c r="C10" s="8">
        <f>1-B10</f>
        <v>0.95599999999999996</v>
      </c>
      <c r="G10" s="120"/>
      <c r="Q10" s="119"/>
    </row>
    <row r="11" spans="1:17" x14ac:dyDescent="0.25">
      <c r="A11" t="s">
        <v>137</v>
      </c>
      <c r="B11" s="8">
        <f>Dashboard!N41</f>
        <v>0.39</v>
      </c>
      <c r="C11" s="8">
        <f>1-B11</f>
        <v>0.61</v>
      </c>
      <c r="G11" s="120"/>
      <c r="M11" t="s">
        <v>142</v>
      </c>
      <c r="Q11" s="119"/>
    </row>
    <row r="12" spans="1:17" x14ac:dyDescent="0.25">
      <c r="A12" t="s">
        <v>108</v>
      </c>
      <c r="B12" s="8">
        <f>Dashboard!$U$41</f>
        <v>0.83699999999999997</v>
      </c>
      <c r="C12" s="8">
        <f>1-B12</f>
        <v>0.16300000000000003</v>
      </c>
      <c r="G12" s="120"/>
      <c r="H12" t="s">
        <v>143</v>
      </c>
      <c r="J12">
        <v>10</v>
      </c>
      <c r="K12" s="129" t="b">
        <f>IF(ISBLANK(Dashboard!AE18),TRUE,FALSE)</f>
        <v>0</v>
      </c>
      <c r="M12" t="s">
        <v>78</v>
      </c>
      <c r="N12" s="129" t="b">
        <f>IF(ISBLANK(Dashboard!AI17),TRUE,FALSE)</f>
        <v>1</v>
      </c>
      <c r="O12" s="8"/>
      <c r="P12" s="8"/>
      <c r="Q12" s="119"/>
    </row>
    <row r="13" spans="1:17" x14ac:dyDescent="0.25">
      <c r="G13" s="120"/>
      <c r="M13" t="s">
        <v>72</v>
      </c>
      <c r="Q13" s="119"/>
    </row>
    <row r="14" spans="1:17" x14ac:dyDescent="0.25">
      <c r="G14" s="120"/>
      <c r="H14" t="s">
        <v>82</v>
      </c>
      <c r="J14">
        <v>2000</v>
      </c>
      <c r="K14" s="129" t="b">
        <f>IF(ISBLANK(Dashboard!AE21),TRUE,FALSE)</f>
        <v>1</v>
      </c>
      <c r="M14" t="s">
        <v>81</v>
      </c>
      <c r="Q14" s="119"/>
    </row>
    <row r="15" spans="1:17" x14ac:dyDescent="0.25">
      <c r="G15" s="120"/>
      <c r="H15" t="s">
        <v>83</v>
      </c>
      <c r="J15">
        <v>2000</v>
      </c>
      <c r="K15" s="129" t="b">
        <f>IF(ISBLANK(Dashboard!AE22),TRUE,FALSE)</f>
        <v>1</v>
      </c>
      <c r="M15" s="129" t="b">
        <f>IF(ISBLANK(Dashboard!AG20),TRUE,FALSE)</f>
        <v>0</v>
      </c>
      <c r="N15" s="125" t="s">
        <v>80</v>
      </c>
      <c r="O15" s="129" t="b">
        <f>IF(ISBLANK(Dashboard!AI20),TRUE,FALSE)</f>
        <v>0</v>
      </c>
      <c r="P15" s="125" t="s">
        <v>80</v>
      </c>
      <c r="Q15" s="119"/>
    </row>
    <row r="16" spans="1:17" x14ac:dyDescent="0.25">
      <c r="G16" s="120"/>
      <c r="H16" t="s">
        <v>84</v>
      </c>
      <c r="J16">
        <v>4000</v>
      </c>
      <c r="K16" s="129" t="b">
        <f>IF(ISBLANK(Dashboard!AE23),TRUE,FALSE)</f>
        <v>1</v>
      </c>
      <c r="Q16" s="119"/>
    </row>
    <row r="17" spans="7:17" x14ac:dyDescent="0.25">
      <c r="G17" s="120"/>
      <c r="M17" t="s">
        <v>85</v>
      </c>
      <c r="Q17" s="119"/>
    </row>
    <row r="18" spans="7:17" x14ac:dyDescent="0.25">
      <c r="G18" s="120"/>
      <c r="H18" t="s">
        <v>86</v>
      </c>
      <c r="K18" s="129" t="b">
        <f>IF(ISBLANK(Dashboard!AE25),TRUE,FALSE)</f>
        <v>0</v>
      </c>
      <c r="M18" t="s">
        <v>78</v>
      </c>
      <c r="N18" s="129" t="b">
        <f>ISBLANK(Dashboard!AI24)</f>
        <v>1</v>
      </c>
      <c r="O18" s="8"/>
      <c r="P18" s="8"/>
      <c r="Q18" s="119"/>
    </row>
    <row r="19" spans="7:17" x14ac:dyDescent="0.25">
      <c r="G19" s="120"/>
      <c r="H19" t="s">
        <v>87</v>
      </c>
      <c r="K19" s="129" t="b">
        <f>IF(ISBLANK(Dashboard!AE26),TRUE,FALSE)</f>
        <v>0</v>
      </c>
      <c r="M19" t="s">
        <v>72</v>
      </c>
      <c r="Q19" s="119"/>
    </row>
    <row r="20" spans="7:17" x14ac:dyDescent="0.25">
      <c r="G20" s="120"/>
      <c r="H20" t="s">
        <v>144</v>
      </c>
      <c r="K20" s="129" t="b">
        <f>IF(ISBLANK(Dashboard!#REF!),TRUE,FALSE)</f>
        <v>0</v>
      </c>
      <c r="M20" t="s">
        <v>81</v>
      </c>
      <c r="Q20" s="119"/>
    </row>
    <row r="21" spans="7:17" x14ac:dyDescent="0.25">
      <c r="G21" s="120"/>
      <c r="H21" t="s">
        <v>145</v>
      </c>
      <c r="K21" s="129" t="b">
        <f>IF(ISBLANK(Dashboard!AE27),TRUE,FALSE)</f>
        <v>0</v>
      </c>
      <c r="M21" s="129" t="b">
        <f>IF(ISBLANK(Dashboard!AG27),TRUE,FALSE)</f>
        <v>0</v>
      </c>
      <c r="N21" s="125" t="s">
        <v>80</v>
      </c>
      <c r="O21" s="129" t="b">
        <f>IF(ISBLANK(Dashboard!AI27),TRUE,FALSE)</f>
        <v>0</v>
      </c>
      <c r="P21" s="125" t="s">
        <v>80</v>
      </c>
      <c r="Q21" s="119"/>
    </row>
    <row r="22" spans="7:17" ht="15.75" thickBot="1" x14ac:dyDescent="0.3">
      <c r="G22" s="126"/>
      <c r="H22" s="127"/>
      <c r="I22" s="127"/>
      <c r="J22" s="127"/>
      <c r="K22" s="127"/>
      <c r="L22" s="127"/>
      <c r="M22" s="127"/>
      <c r="N22" s="127"/>
      <c r="O22" s="127"/>
      <c r="P22" s="127"/>
      <c r="Q22" s="128"/>
    </row>
  </sheetData>
  <mergeCells count="5">
    <mergeCell ref="G2:P2"/>
    <mergeCell ref="M4:O5"/>
    <mergeCell ref="P4:P5"/>
    <mergeCell ref="A1:B1"/>
    <mergeCell ref="A5:B5"/>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3F73A6-2CA9-4072-BB83-60DE42C971F8}">
  <sheetPr codeName="Sheet1"/>
  <dimension ref="A1:D15"/>
  <sheetViews>
    <sheetView workbookViewId="0">
      <selection activeCell="D14" sqref="D14"/>
    </sheetView>
  </sheetViews>
  <sheetFormatPr defaultRowHeight="15" x14ac:dyDescent="0.25"/>
  <cols>
    <col min="1" max="1" width="45.42578125" bestFit="1" customWidth="1"/>
    <col min="3" max="3" width="65.42578125" customWidth="1"/>
    <col min="4" max="4" width="48.85546875" customWidth="1"/>
  </cols>
  <sheetData>
    <row r="1" spans="1:4" ht="21" x14ac:dyDescent="0.35">
      <c r="A1" s="116" t="s">
        <v>146</v>
      </c>
      <c r="D1" s="118" t="s">
        <v>147</v>
      </c>
    </row>
    <row r="2" spans="1:4" ht="21" x14ac:dyDescent="0.35">
      <c r="A2" s="116"/>
      <c r="D2" t="s">
        <v>148</v>
      </c>
    </row>
    <row r="3" spans="1:4" ht="21" x14ac:dyDescent="0.35">
      <c r="A3" s="116" t="s">
        <v>149</v>
      </c>
      <c r="C3" s="116" t="s">
        <v>150</v>
      </c>
      <c r="D3" t="s">
        <v>151</v>
      </c>
    </row>
    <row r="4" spans="1:4" x14ac:dyDescent="0.25">
      <c r="A4" s="117" t="s">
        <v>152</v>
      </c>
      <c r="C4" s="117" t="s">
        <v>153</v>
      </c>
      <c r="D4" t="s">
        <v>154</v>
      </c>
    </row>
    <row r="5" spans="1:4" x14ac:dyDescent="0.25">
      <c r="A5" t="s">
        <v>155</v>
      </c>
      <c r="C5" s="117" t="s">
        <v>156</v>
      </c>
      <c r="D5" t="s">
        <v>157</v>
      </c>
    </row>
    <row r="6" spans="1:4" x14ac:dyDescent="0.25">
      <c r="A6" s="157" t="s">
        <v>158</v>
      </c>
      <c r="C6" s="157" t="s">
        <v>159</v>
      </c>
      <c r="D6" t="s">
        <v>160</v>
      </c>
    </row>
    <row r="7" spans="1:4" x14ac:dyDescent="0.25">
      <c r="A7" s="157" t="s">
        <v>161</v>
      </c>
      <c r="C7" s="117" t="s">
        <v>162</v>
      </c>
      <c r="D7" t="s">
        <v>163</v>
      </c>
    </row>
    <row r="8" spans="1:4" x14ac:dyDescent="0.25">
      <c r="A8" s="157" t="s">
        <v>164</v>
      </c>
      <c r="D8" t="s">
        <v>165</v>
      </c>
    </row>
    <row r="9" spans="1:4" x14ac:dyDescent="0.25">
      <c r="A9" s="157" t="s">
        <v>166</v>
      </c>
      <c r="D9" t="s">
        <v>167</v>
      </c>
    </row>
    <row r="14" spans="1:4" x14ac:dyDescent="0.25">
      <c r="A14" t="s">
        <v>168</v>
      </c>
    </row>
    <row r="15" spans="1:4" x14ac:dyDescent="0.25">
      <c r="A15" t="s">
        <v>169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6B1D8E9FAD84744962B500B5A61BD4F" ma:contentTypeVersion="12" ma:contentTypeDescription="Create a new document." ma:contentTypeScope="" ma:versionID="9d67f2f0f4a603355b76ce5bc6547e38">
  <xsd:schema xmlns:xsd="http://www.w3.org/2001/XMLSchema" xmlns:xs="http://www.w3.org/2001/XMLSchema" xmlns:p="http://schemas.microsoft.com/office/2006/metadata/properties" xmlns:ns2="081a6ef1-bfa5-4b08-b782-bc3e640de7ac" xmlns:ns3="7b356a64-106b-43f2-8d15-bf17bc73b84e" targetNamespace="http://schemas.microsoft.com/office/2006/metadata/properties" ma:root="true" ma:fieldsID="669c10b0727a9fd8625eb074ceeb9905" ns2:_="" ns3:_="">
    <xsd:import namespace="081a6ef1-bfa5-4b08-b782-bc3e640de7ac"/>
    <xsd:import namespace="7b356a64-106b-43f2-8d15-bf17bc73b84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81a6ef1-bfa5-4b08-b782-bc3e640de7a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9"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7b356a64-106b-43f2-8d15-bf17bc73b84e" elementFormDefault="qualified">
    <xsd:import namespace="http://schemas.microsoft.com/office/2006/documentManagement/types"/>
    <xsd:import namespace="http://schemas.microsoft.com/office/infopath/2007/PartnerControls"/>
    <xsd:element name="SharedWithUsers" ma:index="17"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8"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75F56AA4-F604-47F1-BD6D-F7E54F7FF92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81a6ef1-bfa5-4b08-b782-bc3e640de7ac"/>
    <ds:schemaRef ds:uri="7b356a64-106b-43f2-8d15-bf17bc73b84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648E39E-A206-4761-A33F-FDB9B18D308D}">
  <ds:schemaRefs>
    <ds:schemaRef ds:uri="http://schemas.microsoft.com/sharepoint/v3/contenttype/forms"/>
  </ds:schemaRefs>
</ds:datastoreItem>
</file>

<file path=customXml/itemProps3.xml><?xml version="1.0" encoding="utf-8"?>
<ds:datastoreItem xmlns:ds="http://schemas.openxmlformats.org/officeDocument/2006/customXml" ds:itemID="{696A329B-7FB9-4E90-AFC7-2CB3C9D03E38}">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Main Menu</vt:lpstr>
      <vt:lpstr>Compostable Cup Scenario</vt:lpstr>
      <vt:lpstr>Reusable Mug Scenario</vt:lpstr>
      <vt:lpstr>Combined Scenario</vt:lpstr>
      <vt:lpstr>Dashboard</vt:lpstr>
      <vt:lpstr>Metrics</vt:lpstr>
      <vt:lpstr>Simulations</vt:lpstr>
      <vt:lpstr>Control Sheet</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Sherry, Sarah Fairchild</dc:creator>
  <cp:keywords/>
  <dc:description/>
  <cp:lastModifiedBy>Ethan Barrows</cp:lastModifiedBy>
  <cp:revision/>
  <dcterms:created xsi:type="dcterms:W3CDTF">2015-06-05T18:17:20Z</dcterms:created>
  <dcterms:modified xsi:type="dcterms:W3CDTF">2023-10-23T14:35:48Z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0x01010006B1D8E9FAD84744962B500B5A61BD4F</vt:lpwstr>
  </property>
</Properties>
</file>